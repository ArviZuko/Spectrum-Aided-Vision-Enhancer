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新增資料夾\給醫生\"/>
    </mc:Choice>
  </mc:AlternateContent>
  <bookViews>
    <workbookView xWindow="0" yWindow="0" windowWidth="28800" windowHeight="122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639" i="1" l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<sst xmlns="http://schemas.openxmlformats.org/spreadsheetml/2006/main" count="10" uniqueCount="10">
  <si>
    <t>A021440116</t>
    <phoneticPr fontId="1" type="noConversion"/>
  </si>
  <si>
    <t>年齡</t>
    <phoneticPr fontId="1" type="noConversion"/>
  </si>
  <si>
    <t>職業</t>
    <phoneticPr fontId="1" type="noConversion"/>
  </si>
  <si>
    <t>Patient ID</t>
    <phoneticPr fontId="1" type="noConversion"/>
  </si>
  <si>
    <t>性別</t>
    <phoneticPr fontId="1" type="noConversion"/>
  </si>
  <si>
    <t>菸</t>
    <phoneticPr fontId="1" type="noConversion"/>
  </si>
  <si>
    <t>酒</t>
    <phoneticPr fontId="1" type="noConversion"/>
  </si>
  <si>
    <t>檳榔</t>
    <phoneticPr fontId="1" type="noConversion"/>
  </si>
  <si>
    <t>長期服用藥物</t>
    <phoneticPr fontId="1" type="noConversion"/>
  </si>
  <si>
    <r>
      <t>相關疾病</t>
    </r>
    <r>
      <rPr>
        <b/>
        <sz val="9"/>
        <color theme="1"/>
        <rFont val="標楷體"/>
        <family val="4"/>
        <charset val="136"/>
      </rPr>
      <t>(如食道癌)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</si>
</sst>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6"/>
      <color theme="1"/>
      <name val="微軟正黑體"/>
      <family val="2"/>
      <charset val="136"/>
    </font>
    <font>
      <b/>
      <sz val="9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glaucoma\A02144011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9"/>
  <sheetViews>
    <sheetView tabSelected="1" workbookViewId="0">
      <selection activeCell="I1" sqref="I1"/>
    </sheetView>
  </sheetViews>
  <sheetFormatPr defaultRowHeight="19.5" x14ac:dyDescent="0.3"/>
  <cols>
    <col min="1" max="1" width="18.140625" style="1" customWidth="1"/>
    <col min="8" max="8" width="21.140625" customWidth="1"/>
    <col min="9" max="9" width="27.7109375" customWidth="1"/>
  </cols>
  <sheetData>
    <row r="1" spans="1:9" s="4" customFormat="1" ht="21.75" x14ac:dyDescent="0.35">
      <c r="A1" s="2" t="s">
        <v>3</v>
      </c>
      <c r="B1" s="2" t="s">
        <v>4</v>
      </c>
      <c r="C1" s="3" t="s">
        <v>1</v>
      </c>
      <c r="D1" s="3" t="s">
        <v>2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1" t="s">
        <v>0</v>
      </c>
    </row>
    <row r="3" spans="1:9" x14ac:dyDescent="0.3">
      <c r="A3" s="1" t="str">
        <f>HYPERLINK("./glaucoma/A022963035.jpg", "A022963035")</f>
        <v>A022963035</v>
      </c>
    </row>
    <row r="4" spans="1:9" x14ac:dyDescent="0.3">
      <c r="A4" s="1" t="str">
        <f>HYPERLINK("./glaucoma/A039567838.jpg", "A039567838")</f>
        <v>A039567838</v>
      </c>
    </row>
    <row r="5" spans="1:9" x14ac:dyDescent="0.3">
      <c r="A5" s="1" t="str">
        <f>HYPERLINK("./glaucoma/A085640309.jpg", "A085640309")</f>
        <v>A085640309</v>
      </c>
    </row>
    <row r="6" spans="1:9" x14ac:dyDescent="0.3">
      <c r="A6" s="1" t="str">
        <f>HYPERLINK("./glaucoma/A093763297.png", "A093763297")</f>
        <v>A093763297</v>
      </c>
    </row>
    <row r="7" spans="1:9" x14ac:dyDescent="0.3">
      <c r="A7" s="1" t="str">
        <f>HYPERLINK("./glaucoma/A119772476.png", "A119772476")</f>
        <v>A119772476</v>
      </c>
    </row>
    <row r="8" spans="1:9" x14ac:dyDescent="0.3">
      <c r="A8" s="1" t="str">
        <f>HYPERLINK("./glaucoma/A203693668.png", "A203693668")</f>
        <v>A203693668</v>
      </c>
    </row>
    <row r="9" spans="1:9" x14ac:dyDescent="0.3">
      <c r="A9" s="1" t="str">
        <f>HYPERLINK("./glaucoma/A207049986.jpg", "A207049986")</f>
        <v>A207049986</v>
      </c>
    </row>
    <row r="10" spans="1:9" x14ac:dyDescent="0.3">
      <c r="A10" s="1" t="str">
        <f>HYPERLINK("./glaucoma/A334441157.png", "A334441157")</f>
        <v>A334441157</v>
      </c>
    </row>
    <row r="11" spans="1:9" x14ac:dyDescent="0.3">
      <c r="A11" s="1" t="str">
        <f>HYPERLINK("./glaucoma/A361884768.jpg", "A361884768")</f>
        <v>A361884768</v>
      </c>
    </row>
    <row r="12" spans="1:9" x14ac:dyDescent="0.3">
      <c r="A12" s="1" t="str">
        <f>HYPERLINK("./glaucoma/A372849977.jpg", "A372849977")</f>
        <v>A372849977</v>
      </c>
    </row>
    <row r="13" spans="1:9" x14ac:dyDescent="0.3">
      <c r="A13" s="1" t="str">
        <f>HYPERLINK("./glaucoma/A415649395.jpg", "A415649395")</f>
        <v>A415649395</v>
      </c>
    </row>
    <row r="14" spans="1:9" x14ac:dyDescent="0.3">
      <c r="A14" s="1" t="str">
        <f>HYPERLINK("./glaucoma/A431018127.jpg", "A431018127")</f>
        <v>A431018127</v>
      </c>
    </row>
    <row r="15" spans="1:9" x14ac:dyDescent="0.3">
      <c r="A15" s="1" t="str">
        <f>HYPERLINK("./glaucoma/A474055834.jpg", "A474055834")</f>
        <v>A474055834</v>
      </c>
    </row>
    <row r="16" spans="1:9" x14ac:dyDescent="0.3">
      <c r="A16" s="1" t="str">
        <f>HYPERLINK("./glaucoma/A508959980.jpg", "A508959980")</f>
        <v>A508959980</v>
      </c>
    </row>
    <row r="17" spans="1:1" x14ac:dyDescent="0.3">
      <c r="A17" s="1" t="str">
        <f>HYPERLINK("./glaucoma/A522140014.png", "A522140014")</f>
        <v>A522140014</v>
      </c>
    </row>
    <row r="18" spans="1:1" x14ac:dyDescent="0.3">
      <c r="A18" s="1" t="str">
        <f>HYPERLINK("./glaucoma/A538421136.jpg", "A538421136")</f>
        <v>A538421136</v>
      </c>
    </row>
    <row r="19" spans="1:1" x14ac:dyDescent="0.3">
      <c r="A19" s="1" t="str">
        <f>HYPERLINK("./glaucoma/A637109057.jpg", "A637109057")</f>
        <v>A637109057</v>
      </c>
    </row>
    <row r="20" spans="1:1" x14ac:dyDescent="0.3">
      <c r="A20" s="1" t="str">
        <f>HYPERLINK("./glaucoma/A699181908.jpg", "A699181908")</f>
        <v>A699181908</v>
      </c>
    </row>
    <row r="21" spans="1:1" x14ac:dyDescent="0.3">
      <c r="A21" s="1" t="str">
        <f>HYPERLINK("./glaucoma/A725132896.jpg", "A725132896")</f>
        <v>A725132896</v>
      </c>
    </row>
    <row r="22" spans="1:1" x14ac:dyDescent="0.3">
      <c r="A22" s="1" t="str">
        <f>HYPERLINK("./glaucoma/A732652305.png", "A732652305")</f>
        <v>A732652305</v>
      </c>
    </row>
    <row r="23" spans="1:1" x14ac:dyDescent="0.3">
      <c r="A23" s="1" t="str">
        <f>HYPERLINK("./glaucoma/A771557489.png", "A771557489")</f>
        <v>A771557489</v>
      </c>
    </row>
    <row r="24" spans="1:1" x14ac:dyDescent="0.3">
      <c r="A24" s="1" t="str">
        <f>HYPERLINK("./glaucoma/A790571136.jpg", "A790571136")</f>
        <v>A790571136</v>
      </c>
    </row>
    <row r="25" spans="1:1" x14ac:dyDescent="0.3">
      <c r="A25" s="1" t="str">
        <f>HYPERLINK("./glaucoma/A824924020.png", "A824924020")</f>
        <v>A824924020</v>
      </c>
    </row>
    <row r="26" spans="1:1" x14ac:dyDescent="0.3">
      <c r="A26" s="1" t="str">
        <f>HYPERLINK("./glaucoma/A882107441.jpg", "A882107441")</f>
        <v>A882107441</v>
      </c>
    </row>
    <row r="27" spans="1:1" x14ac:dyDescent="0.3">
      <c r="A27" s="1" t="str">
        <f>HYPERLINK("./glaucoma/A895693347.jpg", "A895693347")</f>
        <v>A895693347</v>
      </c>
    </row>
    <row r="28" spans="1:1" x14ac:dyDescent="0.3">
      <c r="A28" s="1" t="str">
        <f>HYPERLINK("./glaucoma/A958757088.png", "A958757088")</f>
        <v>A958757088</v>
      </c>
    </row>
    <row r="29" spans="1:1" x14ac:dyDescent="0.3">
      <c r="A29" s="1" t="str">
        <f>HYPERLINK("./glaucoma/A985428406.jpg", "A985428406")</f>
        <v>A985428406</v>
      </c>
    </row>
    <row r="30" spans="1:1" x14ac:dyDescent="0.3">
      <c r="A30" s="1" t="str">
        <f>HYPERLINK("./glaucoma/B012143404.jpg", "B012143404")</f>
        <v>B012143404</v>
      </c>
    </row>
    <row r="31" spans="1:1" x14ac:dyDescent="0.3">
      <c r="A31" s="1" t="str">
        <f>HYPERLINK("./glaucoma/B073276732.jpg", "B073276732")</f>
        <v>B073276732</v>
      </c>
    </row>
    <row r="32" spans="1:1" x14ac:dyDescent="0.3">
      <c r="A32" s="1" t="str">
        <f>HYPERLINK("./glaucoma/B080403188.jpg", "B080403188")</f>
        <v>B080403188</v>
      </c>
    </row>
    <row r="33" spans="1:1" x14ac:dyDescent="0.3">
      <c r="A33" s="1" t="str">
        <f>HYPERLINK("./glaucoma/B146275583.jpg", "B146275583")</f>
        <v>B146275583</v>
      </c>
    </row>
    <row r="34" spans="1:1" x14ac:dyDescent="0.3">
      <c r="A34" s="1" t="str">
        <f>HYPERLINK("./glaucoma/B154547469.jpg", "B154547469")</f>
        <v>B154547469</v>
      </c>
    </row>
    <row r="35" spans="1:1" x14ac:dyDescent="0.3">
      <c r="A35" s="1" t="str">
        <f>HYPERLINK("./glaucoma/B157841687.jpg", "B157841687")</f>
        <v>B157841687</v>
      </c>
    </row>
    <row r="36" spans="1:1" x14ac:dyDescent="0.3">
      <c r="A36" s="1" t="str">
        <f>HYPERLINK("./glaucoma/B169713137.jpg", "B169713137")</f>
        <v>B169713137</v>
      </c>
    </row>
    <row r="37" spans="1:1" x14ac:dyDescent="0.3">
      <c r="A37" s="1" t="str">
        <f>HYPERLINK("./glaucoma/B249670158.png", "B249670158")</f>
        <v>B249670158</v>
      </c>
    </row>
    <row r="38" spans="1:1" x14ac:dyDescent="0.3">
      <c r="A38" s="1" t="str">
        <f>HYPERLINK("./glaucoma/B328571594.jpg", "B328571594")</f>
        <v>B328571594</v>
      </c>
    </row>
    <row r="39" spans="1:1" x14ac:dyDescent="0.3">
      <c r="A39" s="1" t="str">
        <f>HYPERLINK("./glaucoma/B537342335.png", "B537342335")</f>
        <v>B537342335</v>
      </c>
    </row>
    <row r="40" spans="1:1" x14ac:dyDescent="0.3">
      <c r="A40" s="1" t="str">
        <f>HYPERLINK("./glaucoma/B579972223.jpg", "B579972223")</f>
        <v>B579972223</v>
      </c>
    </row>
    <row r="41" spans="1:1" x14ac:dyDescent="0.3">
      <c r="A41" s="1" t="str">
        <f>HYPERLINK("./glaucoma/B630418163.jpg", "B630418163")</f>
        <v>B630418163</v>
      </c>
    </row>
    <row r="42" spans="1:1" x14ac:dyDescent="0.3">
      <c r="A42" s="1" t="str">
        <f>HYPERLINK("./glaucoma/B735881105.png", "B735881105")</f>
        <v>B735881105</v>
      </c>
    </row>
    <row r="43" spans="1:1" x14ac:dyDescent="0.3">
      <c r="A43" s="1" t="str">
        <f>HYPERLINK("./glaucoma/B783352812.jpg", "B783352812")</f>
        <v>B783352812</v>
      </c>
    </row>
    <row r="44" spans="1:1" x14ac:dyDescent="0.3">
      <c r="A44" s="1" t="str">
        <f>HYPERLINK("./glaucoma/B793943005.jpg", "B793943005")</f>
        <v>B793943005</v>
      </c>
    </row>
    <row r="45" spans="1:1" x14ac:dyDescent="0.3">
      <c r="A45" s="1" t="str">
        <f>HYPERLINK("./glaucoma/B896051868.jpg", "B896051868")</f>
        <v>B896051868</v>
      </c>
    </row>
    <row r="46" spans="1:1" x14ac:dyDescent="0.3">
      <c r="A46" s="1" t="str">
        <f>HYPERLINK("./glaucoma/C096443420.jpg", "C096443420")</f>
        <v>C096443420</v>
      </c>
    </row>
    <row r="47" spans="1:1" x14ac:dyDescent="0.3">
      <c r="A47" s="1" t="str">
        <f>HYPERLINK("./glaucoma/C103443154.png", "C103443154")</f>
        <v>C103443154</v>
      </c>
    </row>
    <row r="48" spans="1:1" x14ac:dyDescent="0.3">
      <c r="A48" s="1" t="str">
        <f>HYPERLINK("./glaucoma/C139434464.jpg", "C139434464")</f>
        <v>C139434464</v>
      </c>
    </row>
    <row r="49" spans="1:1" x14ac:dyDescent="0.3">
      <c r="A49" s="1" t="str">
        <f>HYPERLINK("./glaucoma/C171305170.png", "C171305170")</f>
        <v>C171305170</v>
      </c>
    </row>
    <row r="50" spans="1:1" x14ac:dyDescent="0.3">
      <c r="A50" s="1" t="str">
        <f>HYPERLINK("./glaucoma/C174965392.jpg", "C174965392")</f>
        <v>C174965392</v>
      </c>
    </row>
    <row r="51" spans="1:1" x14ac:dyDescent="0.3">
      <c r="A51" s="1" t="str">
        <f>HYPERLINK("./glaucoma/C230072677.png", "C230072677")</f>
        <v>C230072677</v>
      </c>
    </row>
    <row r="52" spans="1:1" x14ac:dyDescent="0.3">
      <c r="A52" s="1" t="str">
        <f>HYPERLINK("./glaucoma/C231793346.png", "C231793346")</f>
        <v>C231793346</v>
      </c>
    </row>
    <row r="53" spans="1:1" x14ac:dyDescent="0.3">
      <c r="A53" s="1" t="str">
        <f>HYPERLINK("./glaucoma/C254682100.png", "C254682100")</f>
        <v>C254682100</v>
      </c>
    </row>
    <row r="54" spans="1:1" x14ac:dyDescent="0.3">
      <c r="A54" s="1" t="str">
        <f>HYPERLINK("./glaucoma/C259168137.jpg", "C259168137")</f>
        <v>C259168137</v>
      </c>
    </row>
    <row r="55" spans="1:1" x14ac:dyDescent="0.3">
      <c r="A55" s="1" t="str">
        <f>HYPERLINK("./glaucoma/C323661417.jpg", "C323661417")</f>
        <v>C323661417</v>
      </c>
    </row>
    <row r="56" spans="1:1" x14ac:dyDescent="0.3">
      <c r="A56" s="1" t="str">
        <f>HYPERLINK("./glaucoma/C355043875.png", "C355043875")</f>
        <v>C355043875</v>
      </c>
    </row>
    <row r="57" spans="1:1" x14ac:dyDescent="0.3">
      <c r="A57" s="1" t="str">
        <f>HYPERLINK("./glaucoma/C401261076.jpg", "C401261076")</f>
        <v>C401261076</v>
      </c>
    </row>
    <row r="58" spans="1:1" x14ac:dyDescent="0.3">
      <c r="A58" s="1" t="str">
        <f>HYPERLINK("./glaucoma/C489462031.png", "C489462031")</f>
        <v>C489462031</v>
      </c>
    </row>
    <row r="59" spans="1:1" x14ac:dyDescent="0.3">
      <c r="A59" s="1" t="str">
        <f>HYPERLINK("./glaucoma/C524838049.png", "C524838049")</f>
        <v>C524838049</v>
      </c>
    </row>
    <row r="60" spans="1:1" x14ac:dyDescent="0.3">
      <c r="A60" s="1" t="str">
        <f>HYPERLINK("./glaucoma/C674446134.jpg", "C674446134")</f>
        <v>C674446134</v>
      </c>
    </row>
    <row r="61" spans="1:1" x14ac:dyDescent="0.3">
      <c r="A61" s="1" t="str">
        <f>HYPERLINK("./glaucoma/C695507226.jpg", "C695507226")</f>
        <v>C695507226</v>
      </c>
    </row>
    <row r="62" spans="1:1" x14ac:dyDescent="0.3">
      <c r="A62" s="1" t="str">
        <f>HYPERLINK("./glaucoma/C804338473.jpg", "C804338473")</f>
        <v>C804338473</v>
      </c>
    </row>
    <row r="63" spans="1:1" x14ac:dyDescent="0.3">
      <c r="A63" s="1" t="str">
        <f>HYPERLINK("./glaucoma/C826813395.png", "C826813395")</f>
        <v>C826813395</v>
      </c>
    </row>
    <row r="64" spans="1:1" x14ac:dyDescent="0.3">
      <c r="A64" s="1" t="str">
        <f>HYPERLINK("./glaucoma/C873008716.jpg", "C873008716")</f>
        <v>C873008716</v>
      </c>
    </row>
    <row r="65" spans="1:1" x14ac:dyDescent="0.3">
      <c r="A65" s="1" t="str">
        <f>HYPERLINK("./glaucoma/C975056983.png", "C975056983")</f>
        <v>C975056983</v>
      </c>
    </row>
    <row r="66" spans="1:1" x14ac:dyDescent="0.3">
      <c r="A66" s="1" t="str">
        <f>HYPERLINK("./glaucoma/D013769627.jpg", "D013769627")</f>
        <v>D013769627</v>
      </c>
    </row>
    <row r="67" spans="1:1" x14ac:dyDescent="0.3">
      <c r="A67" s="1" t="str">
        <f>HYPERLINK("./glaucoma/D167606326.jpg", "D167606326")</f>
        <v>D167606326</v>
      </c>
    </row>
    <row r="68" spans="1:1" x14ac:dyDescent="0.3">
      <c r="A68" s="1" t="str">
        <f>HYPERLINK("./glaucoma/D172476401.jpg", "D172476401")</f>
        <v>D172476401</v>
      </c>
    </row>
    <row r="69" spans="1:1" x14ac:dyDescent="0.3">
      <c r="A69" s="1" t="str">
        <f>HYPERLINK("./glaucoma/D192215134.png", "D192215134")</f>
        <v>D192215134</v>
      </c>
    </row>
    <row r="70" spans="1:1" x14ac:dyDescent="0.3">
      <c r="A70" s="1" t="str">
        <f>HYPERLINK("./glaucoma/D226844921.png", "D226844921")</f>
        <v>D226844921</v>
      </c>
    </row>
    <row r="71" spans="1:1" x14ac:dyDescent="0.3">
      <c r="A71" s="1" t="str">
        <f>HYPERLINK("./glaucoma/D244711820.jpg", "D244711820")</f>
        <v>D244711820</v>
      </c>
    </row>
    <row r="72" spans="1:1" x14ac:dyDescent="0.3">
      <c r="A72" s="1" t="str">
        <f>HYPERLINK("./glaucoma/D326017718.jpg", "D326017718")</f>
        <v>D326017718</v>
      </c>
    </row>
    <row r="73" spans="1:1" x14ac:dyDescent="0.3">
      <c r="A73" s="1" t="str">
        <f>HYPERLINK("./glaucoma/D338595901.png", "D338595901")</f>
        <v>D338595901</v>
      </c>
    </row>
    <row r="74" spans="1:1" x14ac:dyDescent="0.3">
      <c r="A74" s="1" t="str">
        <f>HYPERLINK("./glaucoma/D344377455.jpg", "D344377455")</f>
        <v>D344377455</v>
      </c>
    </row>
    <row r="75" spans="1:1" x14ac:dyDescent="0.3">
      <c r="A75" s="1" t="str">
        <f>HYPERLINK("./glaucoma/D376365851.png", "D376365851")</f>
        <v>D376365851</v>
      </c>
    </row>
    <row r="76" spans="1:1" x14ac:dyDescent="0.3">
      <c r="A76" s="1" t="str">
        <f>HYPERLINK("./glaucoma/D432339497.png", "D432339497")</f>
        <v>D432339497</v>
      </c>
    </row>
    <row r="77" spans="1:1" x14ac:dyDescent="0.3">
      <c r="A77" s="1" t="str">
        <f>HYPERLINK("./glaucoma/D469725984.jpg", "D469725984")</f>
        <v>D469725984</v>
      </c>
    </row>
    <row r="78" spans="1:1" x14ac:dyDescent="0.3">
      <c r="A78" s="1" t="str">
        <f>HYPERLINK("./glaucoma/D538091990.jpg", "D538091990")</f>
        <v>D538091990</v>
      </c>
    </row>
    <row r="79" spans="1:1" x14ac:dyDescent="0.3">
      <c r="A79" s="1" t="str">
        <f>HYPERLINK("./glaucoma/D539431753.jpg", "D539431753")</f>
        <v>D539431753</v>
      </c>
    </row>
    <row r="80" spans="1:1" x14ac:dyDescent="0.3">
      <c r="A80" s="1" t="str">
        <f>HYPERLINK("./glaucoma/D558197982.png", "D558197982")</f>
        <v>D558197982</v>
      </c>
    </row>
    <row r="81" spans="1:1" x14ac:dyDescent="0.3">
      <c r="A81" s="1" t="str">
        <f>HYPERLINK("./glaucoma/D605141723.png", "D605141723")</f>
        <v>D605141723</v>
      </c>
    </row>
    <row r="82" spans="1:1" x14ac:dyDescent="0.3">
      <c r="A82" s="1" t="str">
        <f>HYPERLINK("./glaucoma/D605271630.png", "D605271630")</f>
        <v>D605271630</v>
      </c>
    </row>
    <row r="83" spans="1:1" x14ac:dyDescent="0.3">
      <c r="A83" s="1" t="str">
        <f>HYPERLINK("./glaucoma/D659233052.jpg", "D659233052")</f>
        <v>D659233052</v>
      </c>
    </row>
    <row r="84" spans="1:1" x14ac:dyDescent="0.3">
      <c r="A84" s="1" t="str">
        <f>HYPERLINK("./glaucoma/D688773238.png", "D688773238")</f>
        <v>D688773238</v>
      </c>
    </row>
    <row r="85" spans="1:1" x14ac:dyDescent="0.3">
      <c r="A85" s="1" t="str">
        <f>HYPERLINK("./glaucoma/D697088545.jpg", "D697088545")</f>
        <v>D697088545</v>
      </c>
    </row>
    <row r="86" spans="1:1" x14ac:dyDescent="0.3">
      <c r="A86" s="1" t="str">
        <f>HYPERLINK("./glaucoma/D718386901.jpg", "D718386901")</f>
        <v>D718386901</v>
      </c>
    </row>
    <row r="87" spans="1:1" x14ac:dyDescent="0.3">
      <c r="A87" s="1" t="str">
        <f>HYPERLINK("./glaucoma/D773544153.png", "D773544153")</f>
        <v>D773544153</v>
      </c>
    </row>
    <row r="88" spans="1:1" x14ac:dyDescent="0.3">
      <c r="A88" s="1" t="str">
        <f>HYPERLINK("./glaucoma/D777901558.png", "D777901558")</f>
        <v>D777901558</v>
      </c>
    </row>
    <row r="89" spans="1:1" x14ac:dyDescent="0.3">
      <c r="A89" s="1" t="str">
        <f>HYPERLINK("./glaucoma/D780421648.png", "D780421648")</f>
        <v>D780421648</v>
      </c>
    </row>
    <row r="90" spans="1:1" x14ac:dyDescent="0.3">
      <c r="A90" s="1" t="str">
        <f>HYPERLINK("./glaucoma/D813145249.jpg", "D813145249")</f>
        <v>D813145249</v>
      </c>
    </row>
    <row r="91" spans="1:1" x14ac:dyDescent="0.3">
      <c r="A91" s="1" t="str">
        <f>HYPERLINK("./glaucoma/D878979126.jpg", "D878979126")</f>
        <v>D878979126</v>
      </c>
    </row>
    <row r="92" spans="1:1" x14ac:dyDescent="0.3">
      <c r="A92" s="1" t="str">
        <f>HYPERLINK("./glaucoma/D914460440.jpg", "D914460440")</f>
        <v>D914460440</v>
      </c>
    </row>
    <row r="93" spans="1:1" x14ac:dyDescent="0.3">
      <c r="A93" s="1" t="str">
        <f>HYPERLINK("./glaucoma/D920869040.jpg", "D920869040")</f>
        <v>D920869040</v>
      </c>
    </row>
    <row r="94" spans="1:1" x14ac:dyDescent="0.3">
      <c r="A94" s="1" t="str">
        <f>HYPERLINK("./glaucoma/D963161007.jpg", "D963161007")</f>
        <v>D963161007</v>
      </c>
    </row>
    <row r="95" spans="1:1" x14ac:dyDescent="0.3">
      <c r="A95" s="1" t="str">
        <f>HYPERLINK("./glaucoma/D998861779.png", "D998861779")</f>
        <v>D998861779</v>
      </c>
    </row>
    <row r="96" spans="1:1" x14ac:dyDescent="0.3">
      <c r="A96" s="1" t="str">
        <f>HYPERLINK("./glaucoma/E091348817.jpg", "E091348817")</f>
        <v>E091348817</v>
      </c>
    </row>
    <row r="97" spans="1:1" x14ac:dyDescent="0.3">
      <c r="A97" s="1" t="str">
        <f>HYPERLINK("./glaucoma/E095374892.png", "E095374892")</f>
        <v>E095374892</v>
      </c>
    </row>
    <row r="98" spans="1:1" x14ac:dyDescent="0.3">
      <c r="A98" s="1" t="str">
        <f>HYPERLINK("./glaucoma/E126900930.png", "E126900930")</f>
        <v>E126900930</v>
      </c>
    </row>
    <row r="99" spans="1:1" x14ac:dyDescent="0.3">
      <c r="A99" s="1" t="str">
        <f>HYPERLINK("./glaucoma/E128267182.png", "E128267182")</f>
        <v>E128267182</v>
      </c>
    </row>
    <row r="100" spans="1:1" x14ac:dyDescent="0.3">
      <c r="A100" s="1" t="str">
        <f>HYPERLINK("./glaucoma/E133906519.jpg", "E133906519")</f>
        <v>E133906519</v>
      </c>
    </row>
    <row r="101" spans="1:1" x14ac:dyDescent="0.3">
      <c r="A101" s="1" t="str">
        <f>HYPERLINK("./glaucoma/E136155808.jpg", "E136155808")</f>
        <v>E136155808</v>
      </c>
    </row>
    <row r="102" spans="1:1" x14ac:dyDescent="0.3">
      <c r="A102" s="1" t="str">
        <f>HYPERLINK("./glaucoma/E165274871.png", "E165274871")</f>
        <v>E165274871</v>
      </c>
    </row>
    <row r="103" spans="1:1" x14ac:dyDescent="0.3">
      <c r="A103" s="1" t="str">
        <f>HYPERLINK("./glaucoma/E168331570.jpg", "E168331570")</f>
        <v>E168331570</v>
      </c>
    </row>
    <row r="104" spans="1:1" x14ac:dyDescent="0.3">
      <c r="A104" s="1" t="str">
        <f>HYPERLINK("./glaucoma/E236188118.png", "E236188118")</f>
        <v>E236188118</v>
      </c>
    </row>
    <row r="105" spans="1:1" x14ac:dyDescent="0.3">
      <c r="A105" s="1" t="str">
        <f>HYPERLINK("./glaucoma/E265996559.jpg", "E265996559")</f>
        <v>E265996559</v>
      </c>
    </row>
    <row r="106" spans="1:1" x14ac:dyDescent="0.3">
      <c r="A106" s="1" t="str">
        <f>HYPERLINK("./glaucoma/E336916466.jpg", "E336916466")</f>
        <v>E336916466</v>
      </c>
    </row>
    <row r="107" spans="1:1" x14ac:dyDescent="0.3">
      <c r="A107" s="1" t="str">
        <f>HYPERLINK("./glaucoma/E343746084.png", "E343746084")</f>
        <v>E343746084</v>
      </c>
    </row>
    <row r="108" spans="1:1" x14ac:dyDescent="0.3">
      <c r="A108" s="1" t="str">
        <f>HYPERLINK("./glaucoma/E370395154.png", "E370395154")</f>
        <v>E370395154</v>
      </c>
    </row>
    <row r="109" spans="1:1" x14ac:dyDescent="0.3">
      <c r="A109" s="1" t="str">
        <f>HYPERLINK("./glaucoma/E403839483.jpg", "E403839483")</f>
        <v>E403839483</v>
      </c>
    </row>
    <row r="110" spans="1:1" x14ac:dyDescent="0.3">
      <c r="A110" s="1" t="str">
        <f>HYPERLINK("./glaucoma/E411636198.jpg", "E411636198")</f>
        <v>E411636198</v>
      </c>
    </row>
    <row r="111" spans="1:1" x14ac:dyDescent="0.3">
      <c r="A111" s="1" t="str">
        <f>HYPERLINK("./glaucoma/E521731190.jpg", "E521731190")</f>
        <v>E521731190</v>
      </c>
    </row>
    <row r="112" spans="1:1" x14ac:dyDescent="0.3">
      <c r="A112" s="1" t="str">
        <f>HYPERLINK("./glaucoma/E552227895.png", "E552227895")</f>
        <v>E552227895</v>
      </c>
    </row>
    <row r="113" spans="1:1" x14ac:dyDescent="0.3">
      <c r="A113" s="1" t="str">
        <f>HYPERLINK("./glaucoma/E604158889.jpg", "E604158889")</f>
        <v>E604158889</v>
      </c>
    </row>
    <row r="114" spans="1:1" x14ac:dyDescent="0.3">
      <c r="A114" s="1" t="str">
        <f>HYPERLINK("./glaucoma/E637789246.jpg", "E637789246")</f>
        <v>E637789246</v>
      </c>
    </row>
    <row r="115" spans="1:1" x14ac:dyDescent="0.3">
      <c r="A115" s="1" t="str">
        <f>HYPERLINK("./glaucoma/E690889719.png", "E690889719")</f>
        <v>E690889719</v>
      </c>
    </row>
    <row r="116" spans="1:1" x14ac:dyDescent="0.3">
      <c r="A116" s="1" t="str">
        <f>HYPERLINK("./glaucoma/E758713199.jpg", "E758713199")</f>
        <v>E758713199</v>
      </c>
    </row>
    <row r="117" spans="1:1" x14ac:dyDescent="0.3">
      <c r="A117" s="1" t="str">
        <f>HYPERLINK("./glaucoma/E799866367.jpg", "E799866367")</f>
        <v>E799866367</v>
      </c>
    </row>
    <row r="118" spans="1:1" x14ac:dyDescent="0.3">
      <c r="A118" s="1" t="str">
        <f>HYPERLINK("./glaucoma/E822754081.png", "E822754081")</f>
        <v>E822754081</v>
      </c>
    </row>
    <row r="119" spans="1:1" x14ac:dyDescent="0.3">
      <c r="A119" s="1" t="str">
        <f>HYPERLINK("./glaucoma/E921553718.jpg", "E921553718")</f>
        <v>E921553718</v>
      </c>
    </row>
    <row r="120" spans="1:1" x14ac:dyDescent="0.3">
      <c r="A120" s="1" t="str">
        <f>HYPERLINK("./glaucoma/E932652880.jpg", "E932652880")</f>
        <v>E932652880</v>
      </c>
    </row>
    <row r="121" spans="1:1" x14ac:dyDescent="0.3">
      <c r="A121" s="1" t="str">
        <f>HYPERLINK("./glaucoma/E994052154.jpg", "E994052154")</f>
        <v>E994052154</v>
      </c>
    </row>
    <row r="122" spans="1:1" x14ac:dyDescent="0.3">
      <c r="A122" s="1" t="str">
        <f>HYPERLINK("./glaucoma/E994161363.jpg", "E994161363")</f>
        <v>E994161363</v>
      </c>
    </row>
    <row r="123" spans="1:1" x14ac:dyDescent="0.3">
      <c r="A123" s="1" t="str">
        <f>HYPERLINK("./glaucoma/F005820463.jpg", "F005820463")</f>
        <v>F005820463</v>
      </c>
    </row>
    <row r="124" spans="1:1" x14ac:dyDescent="0.3">
      <c r="A124" s="1" t="str">
        <f>HYPERLINK("./glaucoma/F005976677.jpg", "F005976677")</f>
        <v>F005976677</v>
      </c>
    </row>
    <row r="125" spans="1:1" x14ac:dyDescent="0.3">
      <c r="A125" s="1" t="str">
        <f>HYPERLINK("./glaucoma/F063593105.jpg", "F063593105")</f>
        <v>F063593105</v>
      </c>
    </row>
    <row r="126" spans="1:1" x14ac:dyDescent="0.3">
      <c r="A126" s="1" t="str">
        <f>HYPERLINK("./glaucoma/F102824973.png", "F102824973")</f>
        <v>F102824973</v>
      </c>
    </row>
    <row r="127" spans="1:1" x14ac:dyDescent="0.3">
      <c r="A127" s="1" t="str">
        <f>HYPERLINK("./glaucoma/F113754381.png", "F113754381")</f>
        <v>F113754381</v>
      </c>
    </row>
    <row r="128" spans="1:1" x14ac:dyDescent="0.3">
      <c r="A128" s="1" t="str">
        <f>HYPERLINK("./glaucoma/F190084388.jpg", "F190084388")</f>
        <v>F190084388</v>
      </c>
    </row>
    <row r="129" spans="1:1" x14ac:dyDescent="0.3">
      <c r="A129" s="1" t="str">
        <f>HYPERLINK("./glaucoma/F193848051.jpg", "F193848051")</f>
        <v>F193848051</v>
      </c>
    </row>
    <row r="130" spans="1:1" x14ac:dyDescent="0.3">
      <c r="A130" s="1" t="str">
        <f>HYPERLINK("./glaucoma/F196562920.jpg", "F196562920")</f>
        <v>F196562920</v>
      </c>
    </row>
    <row r="131" spans="1:1" x14ac:dyDescent="0.3">
      <c r="A131" s="1" t="str">
        <f>HYPERLINK("./glaucoma/F205003941.png", "F205003941")</f>
        <v>F205003941</v>
      </c>
    </row>
    <row r="132" spans="1:1" x14ac:dyDescent="0.3">
      <c r="A132" s="1" t="str">
        <f>HYPERLINK("./glaucoma/F290791944.png", "F290791944")</f>
        <v>F290791944</v>
      </c>
    </row>
    <row r="133" spans="1:1" x14ac:dyDescent="0.3">
      <c r="A133" s="1" t="str">
        <f>HYPERLINK("./glaucoma/F320524840.png", "F320524840")</f>
        <v>F320524840</v>
      </c>
    </row>
    <row r="134" spans="1:1" x14ac:dyDescent="0.3">
      <c r="A134" s="1" t="str">
        <f>HYPERLINK("./glaucoma/F334844567.jpg", "F334844567")</f>
        <v>F334844567</v>
      </c>
    </row>
    <row r="135" spans="1:1" x14ac:dyDescent="0.3">
      <c r="A135" s="1" t="str">
        <f>HYPERLINK("./glaucoma/F393692433.jpg", "F393692433")</f>
        <v>F393692433</v>
      </c>
    </row>
    <row r="136" spans="1:1" x14ac:dyDescent="0.3">
      <c r="A136" s="1" t="str">
        <f>HYPERLINK("./glaucoma/F401542704.jpg", "F401542704")</f>
        <v>F401542704</v>
      </c>
    </row>
    <row r="137" spans="1:1" x14ac:dyDescent="0.3">
      <c r="A137" s="1" t="str">
        <f>HYPERLINK("./glaucoma/F401710174.png", "F401710174")</f>
        <v>F401710174</v>
      </c>
    </row>
    <row r="138" spans="1:1" x14ac:dyDescent="0.3">
      <c r="A138" s="1" t="str">
        <f>HYPERLINK("./glaucoma/F414142012.png", "F414142012")</f>
        <v>F414142012</v>
      </c>
    </row>
    <row r="139" spans="1:1" x14ac:dyDescent="0.3">
      <c r="A139" s="1" t="str">
        <f>HYPERLINK("./glaucoma/F430185433.png", "F430185433")</f>
        <v>F430185433</v>
      </c>
    </row>
    <row r="140" spans="1:1" x14ac:dyDescent="0.3">
      <c r="A140" s="1" t="str">
        <f>HYPERLINK("./glaucoma/F440570214.png", "F440570214")</f>
        <v>F440570214</v>
      </c>
    </row>
    <row r="141" spans="1:1" x14ac:dyDescent="0.3">
      <c r="A141" s="1" t="str">
        <f>HYPERLINK("./glaucoma/F468892812.jpg", "F468892812")</f>
        <v>F468892812</v>
      </c>
    </row>
    <row r="142" spans="1:1" x14ac:dyDescent="0.3">
      <c r="A142" s="1" t="str">
        <f>HYPERLINK("./glaucoma/F556062651.jpg", "F556062651")</f>
        <v>F556062651</v>
      </c>
    </row>
    <row r="143" spans="1:1" x14ac:dyDescent="0.3">
      <c r="A143" s="1" t="str">
        <f>HYPERLINK("./glaucoma/F590422281.jpg", "F590422281")</f>
        <v>F590422281</v>
      </c>
    </row>
    <row r="144" spans="1:1" x14ac:dyDescent="0.3">
      <c r="A144" s="1" t="str">
        <f>HYPERLINK("./glaucoma/F597599941.jpg", "F597599941")</f>
        <v>F597599941</v>
      </c>
    </row>
    <row r="145" spans="1:1" x14ac:dyDescent="0.3">
      <c r="A145" s="1" t="str">
        <f>HYPERLINK("./glaucoma/F623706612.jpg", "F623706612")</f>
        <v>F623706612</v>
      </c>
    </row>
    <row r="146" spans="1:1" x14ac:dyDescent="0.3">
      <c r="A146" s="1" t="str">
        <f>HYPERLINK("./glaucoma/F668980274.png", "F668980274")</f>
        <v>F668980274</v>
      </c>
    </row>
    <row r="147" spans="1:1" x14ac:dyDescent="0.3">
      <c r="A147" s="1" t="str">
        <f>HYPERLINK("./glaucoma/F676425602.png", "F676425602")</f>
        <v>F676425602</v>
      </c>
    </row>
    <row r="148" spans="1:1" x14ac:dyDescent="0.3">
      <c r="A148" s="1" t="str">
        <f>HYPERLINK("./glaucoma/F677268901.jpg", "F677268901")</f>
        <v>F677268901</v>
      </c>
    </row>
    <row r="149" spans="1:1" x14ac:dyDescent="0.3">
      <c r="A149" s="1" t="str">
        <f>HYPERLINK("./glaucoma/F679814223.jpg", "F679814223")</f>
        <v>F679814223</v>
      </c>
    </row>
    <row r="150" spans="1:1" x14ac:dyDescent="0.3">
      <c r="A150" s="1" t="str">
        <f>HYPERLINK("./glaucoma/F681712759.jpg", "F681712759")</f>
        <v>F681712759</v>
      </c>
    </row>
    <row r="151" spans="1:1" x14ac:dyDescent="0.3">
      <c r="A151" s="1" t="str">
        <f>HYPERLINK("./glaucoma/F715520548.png", "F715520548")</f>
        <v>F715520548</v>
      </c>
    </row>
    <row r="152" spans="1:1" x14ac:dyDescent="0.3">
      <c r="A152" s="1" t="str">
        <f>HYPERLINK("./glaucoma/F773969276.png", "F773969276")</f>
        <v>F773969276</v>
      </c>
    </row>
    <row r="153" spans="1:1" x14ac:dyDescent="0.3">
      <c r="A153" s="1" t="str">
        <f>HYPERLINK("./glaucoma/F805629834.jpg", "F805629834")</f>
        <v>F805629834</v>
      </c>
    </row>
    <row r="154" spans="1:1" x14ac:dyDescent="0.3">
      <c r="A154" s="1" t="str">
        <f>HYPERLINK("./glaucoma/F809295159.png", "F809295159")</f>
        <v>F809295159</v>
      </c>
    </row>
    <row r="155" spans="1:1" x14ac:dyDescent="0.3">
      <c r="A155" s="1" t="str">
        <f>HYPERLINK("./glaucoma/F829051395.jpg", "F829051395")</f>
        <v>F829051395</v>
      </c>
    </row>
    <row r="156" spans="1:1" x14ac:dyDescent="0.3">
      <c r="A156" s="1" t="str">
        <f>HYPERLINK("./glaucoma/F866789863.jpg", "F866789863")</f>
        <v>F866789863</v>
      </c>
    </row>
    <row r="157" spans="1:1" x14ac:dyDescent="0.3">
      <c r="A157" s="1" t="str">
        <f>HYPERLINK("./glaucoma/F889128402.png", "F889128402")</f>
        <v>F889128402</v>
      </c>
    </row>
    <row r="158" spans="1:1" x14ac:dyDescent="0.3">
      <c r="A158" s="1" t="str">
        <f>HYPERLINK("./glaucoma/F907095594.jpg", "F907095594")</f>
        <v>F907095594</v>
      </c>
    </row>
    <row r="159" spans="1:1" x14ac:dyDescent="0.3">
      <c r="A159" s="1" t="str">
        <f>HYPERLINK("./glaucoma/F959339453.jpg", "F959339453")</f>
        <v>F959339453</v>
      </c>
    </row>
    <row r="160" spans="1:1" x14ac:dyDescent="0.3">
      <c r="A160" s="1" t="str">
        <f>HYPERLINK("./glaucoma/F976820403.png", "F976820403")</f>
        <v>F976820403</v>
      </c>
    </row>
    <row r="161" spans="1:1" x14ac:dyDescent="0.3">
      <c r="A161" s="1" t="str">
        <f>HYPERLINK("./glaucoma/F991627908.png", "F991627908")</f>
        <v>F991627908</v>
      </c>
    </row>
    <row r="162" spans="1:1" x14ac:dyDescent="0.3">
      <c r="A162" s="1" t="str">
        <f>HYPERLINK("./glaucoma/F994290016.jpg", "F994290016")</f>
        <v>F994290016</v>
      </c>
    </row>
    <row r="163" spans="1:1" x14ac:dyDescent="0.3">
      <c r="A163" s="1" t="str">
        <f>HYPERLINK("./glaucoma/G008300715.jpg", "G008300715")</f>
        <v>G008300715</v>
      </c>
    </row>
    <row r="164" spans="1:1" x14ac:dyDescent="0.3">
      <c r="A164" s="1" t="str">
        <f>HYPERLINK("./glaucoma/G027789051.png", "G027789051")</f>
        <v>G027789051</v>
      </c>
    </row>
    <row r="165" spans="1:1" x14ac:dyDescent="0.3">
      <c r="A165" s="1" t="str">
        <f>HYPERLINK("./glaucoma/G131780084.png", "G131780084")</f>
        <v>G131780084</v>
      </c>
    </row>
    <row r="166" spans="1:1" x14ac:dyDescent="0.3">
      <c r="A166" s="1" t="str">
        <f>HYPERLINK("./glaucoma/G156907327.jpg", "G156907327")</f>
        <v>G156907327</v>
      </c>
    </row>
    <row r="167" spans="1:1" x14ac:dyDescent="0.3">
      <c r="A167" s="1" t="str">
        <f>HYPERLINK("./glaucoma/G187507719.png", "G187507719")</f>
        <v>G187507719</v>
      </c>
    </row>
    <row r="168" spans="1:1" x14ac:dyDescent="0.3">
      <c r="A168" s="1" t="str">
        <f>HYPERLINK("./glaucoma/G217980901.jpg", "G217980901")</f>
        <v>G217980901</v>
      </c>
    </row>
    <row r="169" spans="1:1" x14ac:dyDescent="0.3">
      <c r="A169" s="1" t="str">
        <f>HYPERLINK("./glaucoma/G275601513.jpg", "G275601513")</f>
        <v>G275601513</v>
      </c>
    </row>
    <row r="170" spans="1:1" x14ac:dyDescent="0.3">
      <c r="A170" s="1" t="str">
        <f>HYPERLINK("./glaucoma/G336856615.jpg", "G336856615")</f>
        <v>G336856615</v>
      </c>
    </row>
    <row r="171" spans="1:1" x14ac:dyDescent="0.3">
      <c r="A171" s="1" t="str">
        <f>HYPERLINK("./glaucoma/G348762665.jpg", "G348762665")</f>
        <v>G348762665</v>
      </c>
    </row>
    <row r="172" spans="1:1" x14ac:dyDescent="0.3">
      <c r="A172" s="1" t="str">
        <f>HYPERLINK("./glaucoma/G440452180.jpg", "G440452180")</f>
        <v>G440452180</v>
      </c>
    </row>
    <row r="173" spans="1:1" x14ac:dyDescent="0.3">
      <c r="A173" s="1" t="str">
        <f>HYPERLINK("./glaucoma/G474317142.jpg", "G474317142")</f>
        <v>G474317142</v>
      </c>
    </row>
    <row r="174" spans="1:1" x14ac:dyDescent="0.3">
      <c r="A174" s="1" t="str">
        <f>HYPERLINK("./glaucoma/G584287879.jpg", "G584287879")</f>
        <v>G584287879</v>
      </c>
    </row>
    <row r="175" spans="1:1" x14ac:dyDescent="0.3">
      <c r="A175" s="1" t="str">
        <f>HYPERLINK("./glaucoma/G622671406.png", "G622671406")</f>
        <v>G622671406</v>
      </c>
    </row>
    <row r="176" spans="1:1" x14ac:dyDescent="0.3">
      <c r="A176" s="1" t="str">
        <f>HYPERLINK("./glaucoma/G639800588.jpg", "G639800588")</f>
        <v>G639800588</v>
      </c>
    </row>
    <row r="177" spans="1:1" x14ac:dyDescent="0.3">
      <c r="A177" s="1" t="str">
        <f>HYPERLINK("./glaucoma/G666775608.png", "G666775608")</f>
        <v>G666775608</v>
      </c>
    </row>
    <row r="178" spans="1:1" x14ac:dyDescent="0.3">
      <c r="A178" s="1" t="str">
        <f>HYPERLINK("./glaucoma/G713481848.jpg", "G713481848")</f>
        <v>G713481848</v>
      </c>
    </row>
    <row r="179" spans="1:1" x14ac:dyDescent="0.3">
      <c r="A179" s="1" t="str">
        <f>HYPERLINK("./glaucoma/G734435357.jpg", "G734435357")</f>
        <v>G734435357</v>
      </c>
    </row>
    <row r="180" spans="1:1" x14ac:dyDescent="0.3">
      <c r="A180" s="1" t="str">
        <f>HYPERLINK("./glaucoma/G770603919.jpg", "G770603919")</f>
        <v>G770603919</v>
      </c>
    </row>
    <row r="181" spans="1:1" x14ac:dyDescent="0.3">
      <c r="A181" s="1" t="str">
        <f>HYPERLINK("./glaucoma/G829379526.jpg", "G829379526")</f>
        <v>G829379526</v>
      </c>
    </row>
    <row r="182" spans="1:1" x14ac:dyDescent="0.3">
      <c r="A182" s="1" t="str">
        <f>HYPERLINK("./glaucoma/G862910314.png", "G862910314")</f>
        <v>G862910314</v>
      </c>
    </row>
    <row r="183" spans="1:1" x14ac:dyDescent="0.3">
      <c r="A183" s="1" t="str">
        <f>HYPERLINK("./glaucoma/G863412370.png", "G863412370")</f>
        <v>G863412370</v>
      </c>
    </row>
    <row r="184" spans="1:1" x14ac:dyDescent="0.3">
      <c r="A184" s="1" t="str">
        <f>HYPERLINK("./glaucoma/G880352654.png", "G880352654")</f>
        <v>G880352654</v>
      </c>
    </row>
    <row r="185" spans="1:1" x14ac:dyDescent="0.3">
      <c r="A185" s="1" t="str">
        <f>HYPERLINK("./glaucoma/G930507350.png", "G930507350")</f>
        <v>G930507350</v>
      </c>
    </row>
    <row r="186" spans="1:1" x14ac:dyDescent="0.3">
      <c r="A186" s="1" t="str">
        <f>HYPERLINK("./glaucoma/H002095350.jpg", "H002095350")</f>
        <v>H002095350</v>
      </c>
    </row>
    <row r="187" spans="1:1" x14ac:dyDescent="0.3">
      <c r="A187" s="1" t="str">
        <f>HYPERLINK("./glaucoma/H008100539.jpg", "H008100539")</f>
        <v>H008100539</v>
      </c>
    </row>
    <row r="188" spans="1:1" x14ac:dyDescent="0.3">
      <c r="A188" s="1" t="str">
        <f>HYPERLINK("./glaucoma/H100104647.jpg", "H100104647")</f>
        <v>H100104647</v>
      </c>
    </row>
    <row r="189" spans="1:1" x14ac:dyDescent="0.3">
      <c r="A189" s="1" t="str">
        <f>HYPERLINK("./glaucoma/H142757610.png", "H142757610")</f>
        <v>H142757610</v>
      </c>
    </row>
    <row r="190" spans="1:1" x14ac:dyDescent="0.3">
      <c r="A190" s="1" t="str">
        <f>HYPERLINK("./glaucoma/H286363175.jpg", "H286363175")</f>
        <v>H286363175</v>
      </c>
    </row>
    <row r="191" spans="1:1" x14ac:dyDescent="0.3">
      <c r="A191" s="1" t="str">
        <f>HYPERLINK("./glaucoma/H306131674.png", "H306131674")</f>
        <v>H306131674</v>
      </c>
    </row>
    <row r="192" spans="1:1" x14ac:dyDescent="0.3">
      <c r="A192" s="1" t="str">
        <f>HYPERLINK("./glaucoma/H345985079.jpg", "H345985079")</f>
        <v>H345985079</v>
      </c>
    </row>
    <row r="193" spans="1:1" x14ac:dyDescent="0.3">
      <c r="A193" s="1" t="str">
        <f>HYPERLINK("./glaucoma/H364324804.png", "H364324804")</f>
        <v>H364324804</v>
      </c>
    </row>
    <row r="194" spans="1:1" x14ac:dyDescent="0.3">
      <c r="A194" s="1" t="str">
        <f>HYPERLINK("./glaucoma/H454199066.jpg", "H454199066")</f>
        <v>H454199066</v>
      </c>
    </row>
    <row r="195" spans="1:1" x14ac:dyDescent="0.3">
      <c r="A195" s="1" t="str">
        <f>HYPERLINK("./glaucoma/H514690184.jpg", "H514690184")</f>
        <v>H514690184</v>
      </c>
    </row>
    <row r="196" spans="1:1" x14ac:dyDescent="0.3">
      <c r="A196" s="1" t="str">
        <f>HYPERLINK("./glaucoma/H548860757.png", "H548860757")</f>
        <v>H548860757</v>
      </c>
    </row>
    <row r="197" spans="1:1" x14ac:dyDescent="0.3">
      <c r="A197" s="1" t="str">
        <f>HYPERLINK("./glaucoma/H593968013.jpg", "H593968013")</f>
        <v>H593968013</v>
      </c>
    </row>
    <row r="198" spans="1:1" x14ac:dyDescent="0.3">
      <c r="A198" s="1" t="str">
        <f>HYPERLINK("./glaucoma/H606017533.png", "H606017533")</f>
        <v>H606017533</v>
      </c>
    </row>
    <row r="199" spans="1:1" x14ac:dyDescent="0.3">
      <c r="A199" s="1" t="str">
        <f>HYPERLINK("./glaucoma/H657874966.png", "H657874966")</f>
        <v>H657874966</v>
      </c>
    </row>
    <row r="200" spans="1:1" x14ac:dyDescent="0.3">
      <c r="A200" s="1" t="str">
        <f>HYPERLINK("./glaucoma/H659152024.jpg", "H659152024")</f>
        <v>H659152024</v>
      </c>
    </row>
    <row r="201" spans="1:1" x14ac:dyDescent="0.3">
      <c r="A201" s="1" t="str">
        <f>HYPERLINK("./glaucoma/H670437193.jpg", "H670437193")</f>
        <v>H670437193</v>
      </c>
    </row>
    <row r="202" spans="1:1" x14ac:dyDescent="0.3">
      <c r="A202" s="1" t="str">
        <f>HYPERLINK("./glaucoma/H675684327.jpg", "H675684327")</f>
        <v>H675684327</v>
      </c>
    </row>
    <row r="203" spans="1:1" x14ac:dyDescent="0.3">
      <c r="A203" s="1" t="str">
        <f>HYPERLINK("./glaucoma/H743965053.jpg", "H743965053")</f>
        <v>H743965053</v>
      </c>
    </row>
    <row r="204" spans="1:1" x14ac:dyDescent="0.3">
      <c r="A204" s="1" t="str">
        <f>HYPERLINK("./glaucoma/H751493866.png", "H751493866")</f>
        <v>H751493866</v>
      </c>
    </row>
    <row r="205" spans="1:1" x14ac:dyDescent="0.3">
      <c r="A205" s="1" t="str">
        <f>HYPERLINK("./glaucoma/H755264921.png", "H755264921")</f>
        <v>H755264921</v>
      </c>
    </row>
    <row r="206" spans="1:1" x14ac:dyDescent="0.3">
      <c r="A206" s="1" t="str">
        <f>HYPERLINK("./glaucoma/H818440675.png", "H818440675")</f>
        <v>H818440675</v>
      </c>
    </row>
    <row r="207" spans="1:1" x14ac:dyDescent="0.3">
      <c r="A207" s="1" t="str">
        <f>HYPERLINK("./glaucoma/H821093320.png", "H821093320")</f>
        <v>H821093320</v>
      </c>
    </row>
    <row r="208" spans="1:1" x14ac:dyDescent="0.3">
      <c r="A208" s="1" t="str">
        <f>HYPERLINK("./glaucoma/H838224726.jpg", "H838224726")</f>
        <v>H838224726</v>
      </c>
    </row>
    <row r="209" spans="1:1" x14ac:dyDescent="0.3">
      <c r="A209" s="1" t="str">
        <f>HYPERLINK("./glaucoma/H852328371.jpg", "H852328371")</f>
        <v>H852328371</v>
      </c>
    </row>
    <row r="210" spans="1:1" x14ac:dyDescent="0.3">
      <c r="A210" s="1" t="str">
        <f>HYPERLINK("./glaucoma/H873806559.png", "H873806559")</f>
        <v>H873806559</v>
      </c>
    </row>
    <row r="211" spans="1:1" x14ac:dyDescent="0.3">
      <c r="A211" s="1" t="str">
        <f>HYPERLINK("./glaucoma/H939583149.jpg", "H939583149")</f>
        <v>H939583149</v>
      </c>
    </row>
    <row r="212" spans="1:1" x14ac:dyDescent="0.3">
      <c r="A212" s="1" t="str">
        <f>HYPERLINK("./glaucoma/H961328988.jpg", "H961328988")</f>
        <v>H961328988</v>
      </c>
    </row>
    <row r="213" spans="1:1" x14ac:dyDescent="0.3">
      <c r="A213" s="1" t="str">
        <f>HYPERLINK("./glaucoma/H996062361.jpg", "H996062361")</f>
        <v>H996062361</v>
      </c>
    </row>
    <row r="214" spans="1:1" x14ac:dyDescent="0.3">
      <c r="A214" s="1" t="str">
        <f>HYPERLINK("./glaucoma/I065667297.jpg", "I065667297")</f>
        <v>I065667297</v>
      </c>
    </row>
    <row r="215" spans="1:1" x14ac:dyDescent="0.3">
      <c r="A215" s="1" t="str">
        <f>HYPERLINK("./glaucoma/I202333392.png", "I202333392")</f>
        <v>I202333392</v>
      </c>
    </row>
    <row r="216" spans="1:1" x14ac:dyDescent="0.3">
      <c r="A216" s="1" t="str">
        <f>HYPERLINK("./glaucoma/I226002146.jpg", "I226002146")</f>
        <v>I226002146</v>
      </c>
    </row>
    <row r="217" spans="1:1" x14ac:dyDescent="0.3">
      <c r="A217" s="1" t="str">
        <f>HYPERLINK("./glaucoma/I286128362.jpg", "I286128362")</f>
        <v>I286128362</v>
      </c>
    </row>
    <row r="218" spans="1:1" x14ac:dyDescent="0.3">
      <c r="A218" s="1" t="str">
        <f>HYPERLINK("./glaucoma/I318528047.jpg", "I318528047")</f>
        <v>I318528047</v>
      </c>
    </row>
    <row r="219" spans="1:1" x14ac:dyDescent="0.3">
      <c r="A219" s="1" t="str">
        <f>HYPERLINK("./glaucoma/I331912870.png", "I331912870")</f>
        <v>I331912870</v>
      </c>
    </row>
    <row r="220" spans="1:1" x14ac:dyDescent="0.3">
      <c r="A220" s="1" t="str">
        <f>HYPERLINK("./glaucoma/I380026783.jpg", "I380026783")</f>
        <v>I380026783</v>
      </c>
    </row>
    <row r="221" spans="1:1" x14ac:dyDescent="0.3">
      <c r="A221" s="1" t="str">
        <f>HYPERLINK("./glaucoma/I398544818.jpg", "I398544818")</f>
        <v>I398544818</v>
      </c>
    </row>
    <row r="222" spans="1:1" x14ac:dyDescent="0.3">
      <c r="A222" s="1" t="str">
        <f>HYPERLINK("./glaucoma/I405373528.jpg", "I405373528")</f>
        <v>I405373528</v>
      </c>
    </row>
    <row r="223" spans="1:1" x14ac:dyDescent="0.3">
      <c r="A223" s="1" t="str">
        <f>HYPERLINK("./glaucoma/I411109484.png", "I411109484")</f>
        <v>I411109484</v>
      </c>
    </row>
    <row r="224" spans="1:1" x14ac:dyDescent="0.3">
      <c r="A224" s="1" t="str">
        <f>HYPERLINK("./glaucoma/I456577348.png", "I456577348")</f>
        <v>I456577348</v>
      </c>
    </row>
    <row r="225" spans="1:1" x14ac:dyDescent="0.3">
      <c r="A225" s="1" t="str">
        <f>HYPERLINK("./glaucoma/I805187054.jpg", "I805187054")</f>
        <v>I805187054</v>
      </c>
    </row>
    <row r="226" spans="1:1" x14ac:dyDescent="0.3">
      <c r="A226" s="1" t="str">
        <f>HYPERLINK("./glaucoma/I841245974.jpg", "I841245974")</f>
        <v>I841245974</v>
      </c>
    </row>
    <row r="227" spans="1:1" x14ac:dyDescent="0.3">
      <c r="A227" s="1" t="str">
        <f>HYPERLINK("./glaucoma/I867281339.jpg", "I867281339")</f>
        <v>I867281339</v>
      </c>
    </row>
    <row r="228" spans="1:1" x14ac:dyDescent="0.3">
      <c r="A228" s="1" t="str">
        <f>HYPERLINK("./glaucoma/I879974040.jpg", "I879974040")</f>
        <v>I879974040</v>
      </c>
    </row>
    <row r="229" spans="1:1" x14ac:dyDescent="0.3">
      <c r="A229" s="1" t="str">
        <f>HYPERLINK("./glaucoma/I912840986.jpg", "I912840986")</f>
        <v>I912840986</v>
      </c>
    </row>
    <row r="230" spans="1:1" x14ac:dyDescent="0.3">
      <c r="A230" s="1" t="str">
        <f>HYPERLINK("./glaucoma/I938228927.png", "I938228927")</f>
        <v>I938228927</v>
      </c>
    </row>
    <row r="231" spans="1:1" x14ac:dyDescent="0.3">
      <c r="A231" s="1" t="str">
        <f>HYPERLINK("./glaucoma/J051449390.png", "J051449390")</f>
        <v>J051449390</v>
      </c>
    </row>
    <row r="232" spans="1:1" x14ac:dyDescent="0.3">
      <c r="A232" s="1" t="str">
        <f>HYPERLINK("./glaucoma/J101769748.png", "J101769748")</f>
        <v>J101769748</v>
      </c>
    </row>
    <row r="233" spans="1:1" x14ac:dyDescent="0.3">
      <c r="A233" s="1" t="str">
        <f>HYPERLINK("./glaucoma/J240380024.jpg", "J240380024")</f>
        <v>J240380024</v>
      </c>
    </row>
    <row r="234" spans="1:1" x14ac:dyDescent="0.3">
      <c r="A234" s="1" t="str">
        <f>HYPERLINK("./glaucoma/J245043212.jpg", "J245043212")</f>
        <v>J245043212</v>
      </c>
    </row>
    <row r="235" spans="1:1" x14ac:dyDescent="0.3">
      <c r="A235" s="1" t="str">
        <f>HYPERLINK("./glaucoma/J320716169.png", "J320716169")</f>
        <v>J320716169</v>
      </c>
    </row>
    <row r="236" spans="1:1" x14ac:dyDescent="0.3">
      <c r="A236" s="1" t="str">
        <f>HYPERLINK("./glaucoma/J324615432.jpg", "J324615432")</f>
        <v>J324615432</v>
      </c>
    </row>
    <row r="237" spans="1:1" x14ac:dyDescent="0.3">
      <c r="A237" s="1" t="str">
        <f>HYPERLINK("./glaucoma/J337200754.jpg", "J337200754")</f>
        <v>J337200754</v>
      </c>
    </row>
    <row r="238" spans="1:1" x14ac:dyDescent="0.3">
      <c r="A238" s="1" t="str">
        <f>HYPERLINK("./glaucoma/J350036037.jpg", "J350036037")</f>
        <v>J350036037</v>
      </c>
    </row>
    <row r="239" spans="1:1" x14ac:dyDescent="0.3">
      <c r="A239" s="1" t="str">
        <f>HYPERLINK("./glaucoma/J420083259.jpg", "J420083259")</f>
        <v>J420083259</v>
      </c>
    </row>
    <row r="240" spans="1:1" x14ac:dyDescent="0.3">
      <c r="A240" s="1" t="str">
        <f>HYPERLINK("./glaucoma/J421572189.jpg", "J421572189")</f>
        <v>J421572189</v>
      </c>
    </row>
    <row r="241" spans="1:1" x14ac:dyDescent="0.3">
      <c r="A241" s="1" t="str">
        <f>HYPERLINK("./glaucoma/J506107072.jpg", "J506107072")</f>
        <v>J506107072</v>
      </c>
    </row>
    <row r="242" spans="1:1" x14ac:dyDescent="0.3">
      <c r="A242" s="1" t="str">
        <f>HYPERLINK("./glaucoma/J511700033.png", "J511700033")</f>
        <v>J511700033</v>
      </c>
    </row>
    <row r="243" spans="1:1" x14ac:dyDescent="0.3">
      <c r="A243" s="1" t="str">
        <f>HYPERLINK("./glaucoma/J544828956.png", "J544828956")</f>
        <v>J544828956</v>
      </c>
    </row>
    <row r="244" spans="1:1" x14ac:dyDescent="0.3">
      <c r="A244" s="1" t="str">
        <f>HYPERLINK("./glaucoma/J562445682.png", "J562445682")</f>
        <v>J562445682</v>
      </c>
    </row>
    <row r="245" spans="1:1" x14ac:dyDescent="0.3">
      <c r="A245" s="1" t="str">
        <f>HYPERLINK("./glaucoma/J570793999.jpg", "J570793999")</f>
        <v>J570793999</v>
      </c>
    </row>
    <row r="246" spans="1:1" x14ac:dyDescent="0.3">
      <c r="A246" s="1" t="str">
        <f>HYPERLINK("./glaucoma/J581432405.jpg", "J581432405")</f>
        <v>J581432405</v>
      </c>
    </row>
    <row r="247" spans="1:1" x14ac:dyDescent="0.3">
      <c r="A247" s="1" t="str">
        <f>HYPERLINK("./glaucoma/J591052191.jpg", "J591052191")</f>
        <v>J591052191</v>
      </c>
    </row>
    <row r="248" spans="1:1" x14ac:dyDescent="0.3">
      <c r="A248" s="1" t="str">
        <f>HYPERLINK("./glaucoma/J606985387.png", "J606985387")</f>
        <v>J606985387</v>
      </c>
    </row>
    <row r="249" spans="1:1" x14ac:dyDescent="0.3">
      <c r="A249" s="1" t="str">
        <f>HYPERLINK("./glaucoma/J625469686.jpg", "J625469686")</f>
        <v>J625469686</v>
      </c>
    </row>
    <row r="250" spans="1:1" x14ac:dyDescent="0.3">
      <c r="A250" s="1" t="str">
        <f>HYPERLINK("./glaucoma/J646506495.png", "J646506495")</f>
        <v>J646506495</v>
      </c>
    </row>
    <row r="251" spans="1:1" x14ac:dyDescent="0.3">
      <c r="A251" s="1" t="str">
        <f>HYPERLINK("./glaucoma/J680805958.jpg", "J680805958")</f>
        <v>J680805958</v>
      </c>
    </row>
    <row r="252" spans="1:1" x14ac:dyDescent="0.3">
      <c r="A252" s="1" t="str">
        <f>HYPERLINK("./glaucoma/J749304664.png", "J749304664")</f>
        <v>J749304664</v>
      </c>
    </row>
    <row r="253" spans="1:1" x14ac:dyDescent="0.3">
      <c r="A253" s="1" t="str">
        <f>HYPERLINK("./glaucoma/J778113202.png", "J778113202")</f>
        <v>J778113202</v>
      </c>
    </row>
    <row r="254" spans="1:1" x14ac:dyDescent="0.3">
      <c r="A254" s="1" t="str">
        <f>HYPERLINK("./glaucoma/J898086216.png", "J898086216")</f>
        <v>J898086216</v>
      </c>
    </row>
    <row r="255" spans="1:1" x14ac:dyDescent="0.3">
      <c r="A255" s="1" t="str">
        <f>HYPERLINK("./glaucoma/J907230892.png", "J907230892")</f>
        <v>J907230892</v>
      </c>
    </row>
    <row r="256" spans="1:1" x14ac:dyDescent="0.3">
      <c r="A256" s="1" t="str">
        <f>HYPERLINK("./glaucoma/J912343448.jpg", "J912343448")</f>
        <v>J912343448</v>
      </c>
    </row>
    <row r="257" spans="1:1" x14ac:dyDescent="0.3">
      <c r="A257" s="1" t="str">
        <f>HYPERLINK("./glaucoma/J926172000.jpg", "J926172000")</f>
        <v>J926172000</v>
      </c>
    </row>
    <row r="258" spans="1:1" x14ac:dyDescent="0.3">
      <c r="A258" s="1" t="str">
        <f>HYPERLINK("./glaucoma/J984898134.png", "J984898134")</f>
        <v>J984898134</v>
      </c>
    </row>
    <row r="259" spans="1:1" x14ac:dyDescent="0.3">
      <c r="A259" s="1" t="str">
        <f>HYPERLINK("./glaucoma/J988178747.jpg", "J988178747")</f>
        <v>J988178747</v>
      </c>
    </row>
    <row r="260" spans="1:1" x14ac:dyDescent="0.3">
      <c r="A260" s="1" t="str">
        <f>HYPERLINK("./glaucoma/J995245866.jpg", "J995245866")</f>
        <v>J995245866</v>
      </c>
    </row>
    <row r="261" spans="1:1" x14ac:dyDescent="0.3">
      <c r="A261" s="1" t="str">
        <f>HYPERLINK("./glaucoma/K004312006.jpg", "K004312006")</f>
        <v>K004312006</v>
      </c>
    </row>
    <row r="262" spans="1:1" x14ac:dyDescent="0.3">
      <c r="A262" s="1" t="str">
        <f>HYPERLINK("./glaucoma/K007751208.jpg", "K007751208")</f>
        <v>K007751208</v>
      </c>
    </row>
    <row r="263" spans="1:1" x14ac:dyDescent="0.3">
      <c r="A263" s="1" t="str">
        <f>HYPERLINK("./glaucoma/K062052554.jpg", "K062052554")</f>
        <v>K062052554</v>
      </c>
    </row>
    <row r="264" spans="1:1" x14ac:dyDescent="0.3">
      <c r="A264" s="1" t="str">
        <f>HYPERLINK("./glaucoma/K100889720.jpg", "K100889720")</f>
        <v>K100889720</v>
      </c>
    </row>
    <row r="265" spans="1:1" x14ac:dyDescent="0.3">
      <c r="A265" s="1" t="str">
        <f>HYPERLINK("./glaucoma/K110035012.jpg", "K110035012")</f>
        <v>K110035012</v>
      </c>
    </row>
    <row r="266" spans="1:1" x14ac:dyDescent="0.3">
      <c r="A266" s="1" t="str">
        <f>HYPERLINK("./glaucoma/K168234764.jpg", "K168234764")</f>
        <v>K168234764</v>
      </c>
    </row>
    <row r="267" spans="1:1" x14ac:dyDescent="0.3">
      <c r="A267" s="1" t="str">
        <f>HYPERLINK("./glaucoma/K193307751.png", "K193307751")</f>
        <v>K193307751</v>
      </c>
    </row>
    <row r="268" spans="1:1" x14ac:dyDescent="0.3">
      <c r="A268" s="1" t="str">
        <f>HYPERLINK("./glaucoma/K202060540.png", "K202060540")</f>
        <v>K202060540</v>
      </c>
    </row>
    <row r="269" spans="1:1" x14ac:dyDescent="0.3">
      <c r="A269" s="1" t="str">
        <f>HYPERLINK("./glaucoma/K211916710.jpg", "K211916710")</f>
        <v>K211916710</v>
      </c>
    </row>
    <row r="270" spans="1:1" x14ac:dyDescent="0.3">
      <c r="A270" s="1" t="str">
        <f>HYPERLINK("./glaucoma/K233118428.png", "K233118428")</f>
        <v>K233118428</v>
      </c>
    </row>
    <row r="271" spans="1:1" x14ac:dyDescent="0.3">
      <c r="A271" s="1" t="str">
        <f>HYPERLINK("./glaucoma/K235576986.jpg", "K235576986")</f>
        <v>K235576986</v>
      </c>
    </row>
    <row r="272" spans="1:1" x14ac:dyDescent="0.3">
      <c r="A272" s="1" t="str">
        <f>HYPERLINK("./glaucoma/K246042734.png", "K246042734")</f>
        <v>K246042734</v>
      </c>
    </row>
    <row r="273" spans="1:1" x14ac:dyDescent="0.3">
      <c r="A273" s="1" t="str">
        <f>HYPERLINK("./glaucoma/K256583390.jpg", "K256583390")</f>
        <v>K256583390</v>
      </c>
    </row>
    <row r="274" spans="1:1" x14ac:dyDescent="0.3">
      <c r="A274" s="1" t="str">
        <f>HYPERLINK("./glaucoma/K269648225.jpg", "K269648225")</f>
        <v>K269648225</v>
      </c>
    </row>
    <row r="275" spans="1:1" x14ac:dyDescent="0.3">
      <c r="A275" s="1" t="str">
        <f>HYPERLINK("./glaucoma/K287446206.png", "K287446206")</f>
        <v>K287446206</v>
      </c>
    </row>
    <row r="276" spans="1:1" x14ac:dyDescent="0.3">
      <c r="A276" s="1" t="str">
        <f>HYPERLINK("./glaucoma/K413178145.png", "K413178145")</f>
        <v>K413178145</v>
      </c>
    </row>
    <row r="277" spans="1:1" x14ac:dyDescent="0.3">
      <c r="A277" s="1" t="str">
        <f>HYPERLINK("./glaucoma/K446309031.jpg", "K446309031")</f>
        <v>K446309031</v>
      </c>
    </row>
    <row r="278" spans="1:1" x14ac:dyDescent="0.3">
      <c r="A278" s="1" t="str">
        <f>HYPERLINK("./glaucoma/K471238129.jpg", "K471238129")</f>
        <v>K471238129</v>
      </c>
    </row>
    <row r="279" spans="1:1" x14ac:dyDescent="0.3">
      <c r="A279" s="1" t="str">
        <f>HYPERLINK("./glaucoma/K483465402.jpg", "K483465402")</f>
        <v>K483465402</v>
      </c>
    </row>
    <row r="280" spans="1:1" x14ac:dyDescent="0.3">
      <c r="A280" s="1" t="str">
        <f>HYPERLINK("./glaucoma/K486315147.png", "K486315147")</f>
        <v>K486315147</v>
      </c>
    </row>
    <row r="281" spans="1:1" x14ac:dyDescent="0.3">
      <c r="A281" s="1" t="str">
        <f>HYPERLINK("./glaucoma/K512309614.jpg", "K512309614")</f>
        <v>K512309614</v>
      </c>
    </row>
    <row r="282" spans="1:1" x14ac:dyDescent="0.3">
      <c r="A282" s="1" t="str">
        <f>HYPERLINK("./glaucoma/K521355684.jpg", "K521355684")</f>
        <v>K521355684</v>
      </c>
    </row>
    <row r="283" spans="1:1" x14ac:dyDescent="0.3">
      <c r="A283" s="1" t="str">
        <f>HYPERLINK("./glaucoma/K586843213.png", "K586843213")</f>
        <v>K586843213</v>
      </c>
    </row>
    <row r="284" spans="1:1" x14ac:dyDescent="0.3">
      <c r="A284" s="1" t="str">
        <f>HYPERLINK("./glaucoma/K617973938.png", "K617973938")</f>
        <v>K617973938</v>
      </c>
    </row>
    <row r="285" spans="1:1" x14ac:dyDescent="0.3">
      <c r="A285" s="1" t="str">
        <f>HYPERLINK("./glaucoma/K646266537.jpg", "K646266537")</f>
        <v>K646266537</v>
      </c>
    </row>
    <row r="286" spans="1:1" x14ac:dyDescent="0.3">
      <c r="A286" s="1" t="str">
        <f>HYPERLINK("./glaucoma/K680399143.jpg", "K680399143")</f>
        <v>K680399143</v>
      </c>
    </row>
    <row r="287" spans="1:1" x14ac:dyDescent="0.3">
      <c r="A287" s="1" t="str">
        <f>HYPERLINK("./glaucoma/K797763178.png", "K797763178")</f>
        <v>K797763178</v>
      </c>
    </row>
    <row r="288" spans="1:1" x14ac:dyDescent="0.3">
      <c r="A288" s="1" t="str">
        <f>HYPERLINK("./glaucoma/K816971641.png", "K816971641")</f>
        <v>K816971641</v>
      </c>
    </row>
    <row r="289" spans="1:1" x14ac:dyDescent="0.3">
      <c r="A289" s="1" t="str">
        <f>HYPERLINK("./glaucoma/K830781455.jpg", "K830781455")</f>
        <v>K830781455</v>
      </c>
    </row>
    <row r="290" spans="1:1" x14ac:dyDescent="0.3">
      <c r="A290" s="1" t="str">
        <f>HYPERLINK("./glaucoma/K831188022.jpg", "K831188022")</f>
        <v>K831188022</v>
      </c>
    </row>
    <row r="291" spans="1:1" x14ac:dyDescent="0.3">
      <c r="A291" s="1" t="str">
        <f>HYPERLINK("./glaucoma/K858270655.jpg", "K858270655")</f>
        <v>K858270655</v>
      </c>
    </row>
    <row r="292" spans="1:1" x14ac:dyDescent="0.3">
      <c r="A292" s="1" t="str">
        <f>HYPERLINK("./glaucoma/K944013546.jpg", "K944013546")</f>
        <v>K944013546</v>
      </c>
    </row>
    <row r="293" spans="1:1" x14ac:dyDescent="0.3">
      <c r="A293" s="1" t="str">
        <f>HYPERLINK("./glaucoma/K947517737.png", "K947517737")</f>
        <v>K947517737</v>
      </c>
    </row>
    <row r="294" spans="1:1" x14ac:dyDescent="0.3">
      <c r="A294" s="1" t="str">
        <f>HYPERLINK("./glaucoma/L039610262.png", "L039610262")</f>
        <v>L039610262</v>
      </c>
    </row>
    <row r="295" spans="1:1" x14ac:dyDescent="0.3">
      <c r="A295" s="1" t="str">
        <f>HYPERLINK("./glaucoma/L119721841.png", "L119721841")</f>
        <v>L119721841</v>
      </c>
    </row>
    <row r="296" spans="1:1" x14ac:dyDescent="0.3">
      <c r="A296" s="1" t="str">
        <f>HYPERLINK("./glaucoma/L167448445.jpg", "L167448445")</f>
        <v>L167448445</v>
      </c>
    </row>
    <row r="297" spans="1:1" x14ac:dyDescent="0.3">
      <c r="A297" s="1" t="str">
        <f>HYPERLINK("./glaucoma/L183596570.png", "L183596570")</f>
        <v>L183596570</v>
      </c>
    </row>
    <row r="298" spans="1:1" x14ac:dyDescent="0.3">
      <c r="A298" s="1" t="str">
        <f>HYPERLINK("./glaucoma/L187741239.png", "L187741239")</f>
        <v>L187741239</v>
      </c>
    </row>
    <row r="299" spans="1:1" x14ac:dyDescent="0.3">
      <c r="A299" s="1" t="str">
        <f>HYPERLINK("./glaucoma/L203028025.jpg", "L203028025")</f>
        <v>L203028025</v>
      </c>
    </row>
    <row r="300" spans="1:1" x14ac:dyDescent="0.3">
      <c r="A300" s="1" t="str">
        <f>HYPERLINK("./glaucoma/L211387545.png", "L211387545")</f>
        <v>L211387545</v>
      </c>
    </row>
    <row r="301" spans="1:1" x14ac:dyDescent="0.3">
      <c r="A301" s="1" t="str">
        <f>HYPERLINK("./glaucoma/L292060967.jpg", "L292060967")</f>
        <v>L292060967</v>
      </c>
    </row>
    <row r="302" spans="1:1" x14ac:dyDescent="0.3">
      <c r="A302" s="1" t="str">
        <f>HYPERLINK("./glaucoma/L292487877.png", "L292487877")</f>
        <v>L292487877</v>
      </c>
    </row>
    <row r="303" spans="1:1" x14ac:dyDescent="0.3">
      <c r="A303" s="1" t="str">
        <f>HYPERLINK("./glaucoma/L296108018.jpg", "L296108018")</f>
        <v>L296108018</v>
      </c>
    </row>
    <row r="304" spans="1:1" x14ac:dyDescent="0.3">
      <c r="A304" s="1" t="str">
        <f>HYPERLINK("./glaucoma/L347704260.png", "L347704260")</f>
        <v>L347704260</v>
      </c>
    </row>
    <row r="305" spans="1:1" x14ac:dyDescent="0.3">
      <c r="A305" s="1" t="str">
        <f>HYPERLINK("./glaucoma/L350896617.jpg", "L350896617")</f>
        <v>L350896617</v>
      </c>
    </row>
    <row r="306" spans="1:1" x14ac:dyDescent="0.3">
      <c r="A306" s="1" t="str">
        <f>HYPERLINK("./glaucoma/L378772262.jpg", "L378772262")</f>
        <v>L378772262</v>
      </c>
    </row>
    <row r="307" spans="1:1" x14ac:dyDescent="0.3">
      <c r="A307" s="1" t="str">
        <f>HYPERLINK("./glaucoma/L481317723.jpg", "L481317723")</f>
        <v>L481317723</v>
      </c>
    </row>
    <row r="308" spans="1:1" x14ac:dyDescent="0.3">
      <c r="A308" s="1" t="str">
        <f>HYPERLINK("./glaucoma/L542779928.jpg", "L542779928")</f>
        <v>L542779928</v>
      </c>
    </row>
    <row r="309" spans="1:1" x14ac:dyDescent="0.3">
      <c r="A309" s="1" t="str">
        <f>HYPERLINK("./glaucoma/L642957836.png", "L642957836")</f>
        <v>L642957836</v>
      </c>
    </row>
    <row r="310" spans="1:1" x14ac:dyDescent="0.3">
      <c r="A310" s="1" t="str">
        <f>HYPERLINK("./glaucoma/L655656389.jpg", "L655656389")</f>
        <v>L655656389</v>
      </c>
    </row>
    <row r="311" spans="1:1" x14ac:dyDescent="0.3">
      <c r="A311" s="1" t="str">
        <f>HYPERLINK("./glaucoma/L658640963.jpg", "L658640963")</f>
        <v>L658640963</v>
      </c>
    </row>
    <row r="312" spans="1:1" x14ac:dyDescent="0.3">
      <c r="A312" s="1" t="str">
        <f>HYPERLINK("./glaucoma/L661889762.png", "L661889762")</f>
        <v>L661889762</v>
      </c>
    </row>
    <row r="313" spans="1:1" x14ac:dyDescent="0.3">
      <c r="A313" s="1" t="str">
        <f>HYPERLINK("./glaucoma/L671485943.png", "L671485943")</f>
        <v>L671485943</v>
      </c>
    </row>
    <row r="314" spans="1:1" x14ac:dyDescent="0.3">
      <c r="A314" s="1" t="str">
        <f>HYPERLINK("./glaucoma/L784628571.jpg", "L784628571")</f>
        <v>L784628571</v>
      </c>
    </row>
    <row r="315" spans="1:1" x14ac:dyDescent="0.3">
      <c r="A315" s="1" t="str">
        <f>HYPERLINK("./glaucoma/L830841138.jpg", "L830841138")</f>
        <v>L830841138</v>
      </c>
    </row>
    <row r="316" spans="1:1" x14ac:dyDescent="0.3">
      <c r="A316" s="1" t="str">
        <f>HYPERLINK("./glaucoma/L850041819.jpg", "L850041819")</f>
        <v>L850041819</v>
      </c>
    </row>
    <row r="317" spans="1:1" x14ac:dyDescent="0.3">
      <c r="A317" s="1" t="str">
        <f>HYPERLINK("./glaucoma/L953621007.jpg", "L953621007")</f>
        <v>L953621007</v>
      </c>
    </row>
    <row r="318" spans="1:1" x14ac:dyDescent="0.3">
      <c r="A318" s="1" t="str">
        <f>HYPERLINK("./glaucoma/L994990720.jpg", "L994990720")</f>
        <v>L994990720</v>
      </c>
    </row>
    <row r="319" spans="1:1" x14ac:dyDescent="0.3">
      <c r="A319" s="1" t="str">
        <f>HYPERLINK("./glaucoma/M037199980.jpg", "M037199980")</f>
        <v>M037199980</v>
      </c>
    </row>
    <row r="320" spans="1:1" x14ac:dyDescent="0.3">
      <c r="A320" s="1" t="str">
        <f>HYPERLINK("./glaucoma/M060122709.jpg", "M060122709")</f>
        <v>M060122709</v>
      </c>
    </row>
    <row r="321" spans="1:1" x14ac:dyDescent="0.3">
      <c r="A321" s="1" t="str">
        <f>HYPERLINK("./glaucoma/M105339278.jpg", "M105339278")</f>
        <v>M105339278</v>
      </c>
    </row>
    <row r="322" spans="1:1" x14ac:dyDescent="0.3">
      <c r="A322" s="1" t="str">
        <f>HYPERLINK("./glaucoma/M111019822.png", "M111019822")</f>
        <v>M111019822</v>
      </c>
    </row>
    <row r="323" spans="1:1" x14ac:dyDescent="0.3">
      <c r="A323" s="1" t="str">
        <f>HYPERLINK("./glaucoma/M260390146.jpg", "M260390146")</f>
        <v>M260390146</v>
      </c>
    </row>
    <row r="324" spans="1:1" x14ac:dyDescent="0.3">
      <c r="A324" s="1" t="str">
        <f>HYPERLINK("./glaucoma/M298559230.jpg", "M298559230")</f>
        <v>M298559230</v>
      </c>
    </row>
    <row r="325" spans="1:1" x14ac:dyDescent="0.3">
      <c r="A325" s="1" t="str">
        <f>HYPERLINK("./glaucoma/M334784751.png", "M334784751")</f>
        <v>M334784751</v>
      </c>
    </row>
    <row r="326" spans="1:1" x14ac:dyDescent="0.3">
      <c r="A326" s="1" t="str">
        <f>HYPERLINK("./glaucoma/M371408764.png", "M371408764")</f>
        <v>M371408764</v>
      </c>
    </row>
    <row r="327" spans="1:1" x14ac:dyDescent="0.3">
      <c r="A327" s="1" t="str">
        <f>HYPERLINK("./glaucoma/M379420171.jpg", "M379420171")</f>
        <v>M379420171</v>
      </c>
    </row>
    <row r="328" spans="1:1" x14ac:dyDescent="0.3">
      <c r="A328" s="1" t="str">
        <f>HYPERLINK("./glaucoma/M394082682.png", "M394082682")</f>
        <v>M394082682</v>
      </c>
    </row>
    <row r="329" spans="1:1" x14ac:dyDescent="0.3">
      <c r="A329" s="1" t="str">
        <f>HYPERLINK("./glaucoma/M473676869.png", "M473676869")</f>
        <v>M473676869</v>
      </c>
    </row>
    <row r="330" spans="1:1" x14ac:dyDescent="0.3">
      <c r="A330" s="1" t="str">
        <f>HYPERLINK("./glaucoma/M539040104.png", "M539040104")</f>
        <v>M539040104</v>
      </c>
    </row>
    <row r="331" spans="1:1" x14ac:dyDescent="0.3">
      <c r="A331" s="1" t="str">
        <f>HYPERLINK("./glaucoma/M603285897.png", "M603285897")</f>
        <v>M603285897</v>
      </c>
    </row>
    <row r="332" spans="1:1" x14ac:dyDescent="0.3">
      <c r="A332" s="1" t="str">
        <f>HYPERLINK("./glaucoma/M641589435.jpg", "M641589435")</f>
        <v>M641589435</v>
      </c>
    </row>
    <row r="333" spans="1:1" x14ac:dyDescent="0.3">
      <c r="A333" s="1" t="str">
        <f>HYPERLINK("./glaucoma/M718596365.jpg", "M718596365")</f>
        <v>M718596365</v>
      </c>
    </row>
    <row r="334" spans="1:1" x14ac:dyDescent="0.3">
      <c r="A334" s="1" t="str">
        <f>HYPERLINK("./glaucoma/M752028605.jpg", "M752028605")</f>
        <v>M752028605</v>
      </c>
    </row>
    <row r="335" spans="1:1" x14ac:dyDescent="0.3">
      <c r="A335" s="1" t="str">
        <f>HYPERLINK("./glaucoma/M759510476.jpg", "M759510476")</f>
        <v>M759510476</v>
      </c>
    </row>
    <row r="336" spans="1:1" x14ac:dyDescent="0.3">
      <c r="A336" s="1" t="str">
        <f>HYPERLINK("./glaucoma/M803873970.jpg", "M803873970")</f>
        <v>M803873970</v>
      </c>
    </row>
    <row r="337" spans="1:1" x14ac:dyDescent="0.3">
      <c r="A337" s="1" t="str">
        <f>HYPERLINK("./glaucoma/M852952360.jpg", "M852952360")</f>
        <v>M852952360</v>
      </c>
    </row>
    <row r="338" spans="1:1" x14ac:dyDescent="0.3">
      <c r="A338" s="1" t="str">
        <f>HYPERLINK("./glaucoma/M859982666.png", "M859982666")</f>
        <v>M859982666</v>
      </c>
    </row>
    <row r="339" spans="1:1" x14ac:dyDescent="0.3">
      <c r="A339" s="1" t="str">
        <f>HYPERLINK("./glaucoma/M866035365.jpg", "M866035365")</f>
        <v>M866035365</v>
      </c>
    </row>
    <row r="340" spans="1:1" x14ac:dyDescent="0.3">
      <c r="A340" s="1" t="str">
        <f>HYPERLINK("./glaucoma/M959167722.png", "M959167722")</f>
        <v>M959167722</v>
      </c>
    </row>
    <row r="341" spans="1:1" x14ac:dyDescent="0.3">
      <c r="A341" s="1" t="str">
        <f>HYPERLINK("./glaucoma/M963362329.jpg", "M963362329")</f>
        <v>M963362329</v>
      </c>
    </row>
    <row r="342" spans="1:1" x14ac:dyDescent="0.3">
      <c r="A342" s="1" t="str">
        <f>HYPERLINK("./glaucoma/N055736347.jpg", "N055736347")</f>
        <v>N055736347</v>
      </c>
    </row>
    <row r="343" spans="1:1" x14ac:dyDescent="0.3">
      <c r="A343" s="1" t="str">
        <f>HYPERLINK("./glaucoma/N161070543.png", "N161070543")</f>
        <v>N161070543</v>
      </c>
    </row>
    <row r="344" spans="1:1" x14ac:dyDescent="0.3">
      <c r="A344" s="1" t="str">
        <f>HYPERLINK("./glaucoma/N173065024.jpg", "N173065024")</f>
        <v>N173065024</v>
      </c>
    </row>
    <row r="345" spans="1:1" x14ac:dyDescent="0.3">
      <c r="A345" s="1" t="str">
        <f>HYPERLINK("./glaucoma/N186960419.jpg", "N186960419")</f>
        <v>N186960419</v>
      </c>
    </row>
    <row r="346" spans="1:1" x14ac:dyDescent="0.3">
      <c r="A346" s="1" t="str">
        <f>HYPERLINK("./glaucoma/N198857093.png", "N198857093")</f>
        <v>N198857093</v>
      </c>
    </row>
    <row r="347" spans="1:1" x14ac:dyDescent="0.3">
      <c r="A347" s="1" t="str">
        <f>HYPERLINK("./glaucoma/N295014866.jpg", "N295014866")</f>
        <v>N295014866</v>
      </c>
    </row>
    <row r="348" spans="1:1" x14ac:dyDescent="0.3">
      <c r="A348" s="1" t="str">
        <f>HYPERLINK("./glaucoma/N295904450.jpg", "N295904450")</f>
        <v>N295904450</v>
      </c>
    </row>
    <row r="349" spans="1:1" x14ac:dyDescent="0.3">
      <c r="A349" s="1" t="str">
        <f>HYPERLINK("./glaucoma/N298924304.jpg", "N298924304")</f>
        <v>N298924304</v>
      </c>
    </row>
    <row r="350" spans="1:1" x14ac:dyDescent="0.3">
      <c r="A350" s="1" t="str">
        <f>HYPERLINK("./glaucoma/N339779535.jpg", "N339779535")</f>
        <v>N339779535</v>
      </c>
    </row>
    <row r="351" spans="1:1" x14ac:dyDescent="0.3">
      <c r="A351" s="1" t="str">
        <f>HYPERLINK("./glaucoma/N344704182.jpg", "N344704182")</f>
        <v>N344704182</v>
      </c>
    </row>
    <row r="352" spans="1:1" x14ac:dyDescent="0.3">
      <c r="A352" s="1" t="str">
        <f>HYPERLINK("./glaucoma/N420627870.jpg", "N420627870")</f>
        <v>N420627870</v>
      </c>
    </row>
    <row r="353" spans="1:1" x14ac:dyDescent="0.3">
      <c r="A353" s="1" t="str">
        <f>HYPERLINK("./glaucoma/N441058879.jpg", "N441058879")</f>
        <v>N441058879</v>
      </c>
    </row>
    <row r="354" spans="1:1" x14ac:dyDescent="0.3">
      <c r="A354" s="1" t="str">
        <f>HYPERLINK("./glaucoma/N473223827.png", "N473223827")</f>
        <v>N473223827</v>
      </c>
    </row>
    <row r="355" spans="1:1" x14ac:dyDescent="0.3">
      <c r="A355" s="1" t="str">
        <f>HYPERLINK("./glaucoma/N565130284.jpg", "N565130284")</f>
        <v>N565130284</v>
      </c>
    </row>
    <row r="356" spans="1:1" x14ac:dyDescent="0.3">
      <c r="A356" s="1" t="str">
        <f>HYPERLINK("./glaucoma/N570976726.png", "N570976726")</f>
        <v>N570976726</v>
      </c>
    </row>
    <row r="357" spans="1:1" x14ac:dyDescent="0.3">
      <c r="A357" s="1" t="str">
        <f>HYPERLINK("./glaucoma/N609444378.jpg", "N609444378")</f>
        <v>N609444378</v>
      </c>
    </row>
    <row r="358" spans="1:1" x14ac:dyDescent="0.3">
      <c r="A358" s="1" t="str">
        <f>HYPERLINK("./glaucoma/N635887988.jpg", "N635887988")</f>
        <v>N635887988</v>
      </c>
    </row>
    <row r="359" spans="1:1" x14ac:dyDescent="0.3">
      <c r="A359" s="1" t="str">
        <f>HYPERLINK("./glaucoma/N646269634.jpg", "N646269634")</f>
        <v>N646269634</v>
      </c>
    </row>
    <row r="360" spans="1:1" x14ac:dyDescent="0.3">
      <c r="A360" s="1" t="str">
        <f>HYPERLINK("./glaucoma/N663321761.jpg", "N663321761")</f>
        <v>N663321761</v>
      </c>
    </row>
    <row r="361" spans="1:1" x14ac:dyDescent="0.3">
      <c r="A361" s="1" t="str">
        <f>HYPERLINK("./glaucoma/N720081152.png", "N720081152")</f>
        <v>N720081152</v>
      </c>
    </row>
    <row r="362" spans="1:1" x14ac:dyDescent="0.3">
      <c r="A362" s="1" t="str">
        <f>HYPERLINK("./glaucoma/N840731460.png", "N840731460")</f>
        <v>N840731460</v>
      </c>
    </row>
    <row r="363" spans="1:1" x14ac:dyDescent="0.3">
      <c r="A363" s="1" t="str">
        <f>HYPERLINK("./glaucoma/N873258381.png", "N873258381")</f>
        <v>N873258381</v>
      </c>
    </row>
    <row r="364" spans="1:1" x14ac:dyDescent="0.3">
      <c r="A364" s="1" t="str">
        <f>HYPERLINK("./glaucoma/N876721824.jpg", "N876721824")</f>
        <v>N876721824</v>
      </c>
    </row>
    <row r="365" spans="1:1" x14ac:dyDescent="0.3">
      <c r="A365" s="1" t="str">
        <f>HYPERLINK("./glaucoma/N922555007.png", "N922555007")</f>
        <v>N922555007</v>
      </c>
    </row>
    <row r="366" spans="1:1" x14ac:dyDescent="0.3">
      <c r="A366" s="1" t="str">
        <f>HYPERLINK("./glaucoma/O007930550.jpg", "O007930550")</f>
        <v>O007930550</v>
      </c>
    </row>
    <row r="367" spans="1:1" x14ac:dyDescent="0.3">
      <c r="A367" s="1" t="str">
        <f>HYPERLINK("./glaucoma/O085078294.jpg", "O085078294")</f>
        <v>O085078294</v>
      </c>
    </row>
    <row r="368" spans="1:1" x14ac:dyDescent="0.3">
      <c r="A368" s="1" t="str">
        <f>HYPERLINK("./glaucoma/O182669155.jpg", "O182669155")</f>
        <v>O182669155</v>
      </c>
    </row>
    <row r="369" spans="1:1" x14ac:dyDescent="0.3">
      <c r="A369" s="1" t="str">
        <f>HYPERLINK("./glaucoma/O247134885.png", "O247134885")</f>
        <v>O247134885</v>
      </c>
    </row>
    <row r="370" spans="1:1" x14ac:dyDescent="0.3">
      <c r="A370" s="1" t="str">
        <f>HYPERLINK("./glaucoma/O347184168.jpg", "O347184168")</f>
        <v>O347184168</v>
      </c>
    </row>
    <row r="371" spans="1:1" x14ac:dyDescent="0.3">
      <c r="A371" s="1" t="str">
        <f>HYPERLINK("./glaucoma/O363121933.png", "O363121933")</f>
        <v>O363121933</v>
      </c>
    </row>
    <row r="372" spans="1:1" x14ac:dyDescent="0.3">
      <c r="A372" s="1" t="str">
        <f>HYPERLINK("./glaucoma/O381457325.jpg", "O381457325")</f>
        <v>O381457325</v>
      </c>
    </row>
    <row r="373" spans="1:1" x14ac:dyDescent="0.3">
      <c r="A373" s="1" t="str">
        <f>HYPERLINK("./glaucoma/O382372059.jpg", "O382372059")</f>
        <v>O382372059</v>
      </c>
    </row>
    <row r="374" spans="1:1" x14ac:dyDescent="0.3">
      <c r="A374" s="1" t="str">
        <f>HYPERLINK("./glaucoma/O440812971.jpg", "O440812971")</f>
        <v>O440812971</v>
      </c>
    </row>
    <row r="375" spans="1:1" x14ac:dyDescent="0.3">
      <c r="A375" s="1" t="str">
        <f>HYPERLINK("./glaucoma/O476331445.png", "O476331445")</f>
        <v>O476331445</v>
      </c>
    </row>
    <row r="376" spans="1:1" x14ac:dyDescent="0.3">
      <c r="A376" s="1" t="str">
        <f>HYPERLINK("./glaucoma/O521445570.png", "O521445570")</f>
        <v>O521445570</v>
      </c>
    </row>
    <row r="377" spans="1:1" x14ac:dyDescent="0.3">
      <c r="A377" s="1" t="str">
        <f>HYPERLINK("./glaucoma/O619787838.jpg", "O619787838")</f>
        <v>O619787838</v>
      </c>
    </row>
    <row r="378" spans="1:1" x14ac:dyDescent="0.3">
      <c r="A378" s="1" t="str">
        <f>HYPERLINK("./glaucoma/O619859969.jpg", "O619859969")</f>
        <v>O619859969</v>
      </c>
    </row>
    <row r="379" spans="1:1" x14ac:dyDescent="0.3">
      <c r="A379" s="1" t="str">
        <f>HYPERLINK("./glaucoma/O636894062.png", "O636894062")</f>
        <v>O636894062</v>
      </c>
    </row>
    <row r="380" spans="1:1" x14ac:dyDescent="0.3">
      <c r="A380" s="1" t="str">
        <f>HYPERLINK("./glaucoma/O699007401.png", "O699007401")</f>
        <v>O699007401</v>
      </c>
    </row>
    <row r="381" spans="1:1" x14ac:dyDescent="0.3">
      <c r="A381" s="1" t="str">
        <f>HYPERLINK("./glaucoma/O708168281.png", "O708168281")</f>
        <v>O708168281</v>
      </c>
    </row>
    <row r="382" spans="1:1" x14ac:dyDescent="0.3">
      <c r="A382" s="1" t="str">
        <f>HYPERLINK("./glaucoma/O710419466.jpg", "O710419466")</f>
        <v>O710419466</v>
      </c>
    </row>
    <row r="383" spans="1:1" x14ac:dyDescent="0.3">
      <c r="A383" s="1" t="str">
        <f>HYPERLINK("./glaucoma/O718826133.jpg", "O718826133")</f>
        <v>O718826133</v>
      </c>
    </row>
    <row r="384" spans="1:1" x14ac:dyDescent="0.3">
      <c r="A384" s="1" t="str">
        <f>HYPERLINK("./glaucoma/O792522705.png", "O792522705")</f>
        <v>O792522705</v>
      </c>
    </row>
    <row r="385" spans="1:1" x14ac:dyDescent="0.3">
      <c r="A385" s="1" t="str">
        <f>HYPERLINK("./glaucoma/O803435935.jpg", "O803435935")</f>
        <v>O803435935</v>
      </c>
    </row>
    <row r="386" spans="1:1" x14ac:dyDescent="0.3">
      <c r="A386" s="1" t="str">
        <f>HYPERLINK("./glaucoma/O889655956.png", "O889655956")</f>
        <v>O889655956</v>
      </c>
    </row>
    <row r="387" spans="1:1" x14ac:dyDescent="0.3">
      <c r="A387" s="1" t="str">
        <f>HYPERLINK("./glaucoma/O969998492.png", "O969998492")</f>
        <v>O969998492</v>
      </c>
    </row>
    <row r="388" spans="1:1" x14ac:dyDescent="0.3">
      <c r="A388" s="1" t="str">
        <f>HYPERLINK("./glaucoma/O986942254.jpg", "O986942254")</f>
        <v>O986942254</v>
      </c>
    </row>
    <row r="389" spans="1:1" x14ac:dyDescent="0.3">
      <c r="A389" s="1" t="str">
        <f>HYPERLINK("./glaucoma/P000310360.jpg", "P000310360")</f>
        <v>P000310360</v>
      </c>
    </row>
    <row r="390" spans="1:1" x14ac:dyDescent="0.3">
      <c r="A390" s="1" t="str">
        <f>HYPERLINK("./glaucoma/P030954141.jpg", "P030954141")</f>
        <v>P030954141</v>
      </c>
    </row>
    <row r="391" spans="1:1" x14ac:dyDescent="0.3">
      <c r="A391" s="1" t="str">
        <f>HYPERLINK("./glaucoma/P092621866.png", "P092621866")</f>
        <v>P092621866</v>
      </c>
    </row>
    <row r="392" spans="1:1" x14ac:dyDescent="0.3">
      <c r="A392" s="1" t="str">
        <f>HYPERLINK("./glaucoma/P140180044.png", "P140180044")</f>
        <v>P140180044</v>
      </c>
    </row>
    <row r="393" spans="1:1" x14ac:dyDescent="0.3">
      <c r="A393" s="1" t="str">
        <f>HYPERLINK("./glaucoma/P168996103.jpg", "P168996103")</f>
        <v>P168996103</v>
      </c>
    </row>
    <row r="394" spans="1:1" x14ac:dyDescent="0.3">
      <c r="A394" s="1" t="str">
        <f>HYPERLINK("./glaucoma/P169536190.png", "P169536190")</f>
        <v>P169536190</v>
      </c>
    </row>
    <row r="395" spans="1:1" x14ac:dyDescent="0.3">
      <c r="A395" s="1" t="str">
        <f>HYPERLINK("./glaucoma/P177566321.jpg", "P177566321")</f>
        <v>P177566321</v>
      </c>
    </row>
    <row r="396" spans="1:1" x14ac:dyDescent="0.3">
      <c r="A396" s="1" t="str">
        <f>HYPERLINK("./glaucoma/P207674210.png", "P207674210")</f>
        <v>P207674210</v>
      </c>
    </row>
    <row r="397" spans="1:1" x14ac:dyDescent="0.3">
      <c r="A397" s="1" t="str">
        <f>HYPERLINK("./glaucoma/P316258248.jpg", "P316258248")</f>
        <v>P316258248</v>
      </c>
    </row>
    <row r="398" spans="1:1" x14ac:dyDescent="0.3">
      <c r="A398" s="1" t="str">
        <f>HYPERLINK("./glaucoma/P329919829.jpg", "P329919829")</f>
        <v>P329919829</v>
      </c>
    </row>
    <row r="399" spans="1:1" x14ac:dyDescent="0.3">
      <c r="A399" s="1" t="str">
        <f>HYPERLINK("./glaucoma/P396927286.jpg", "P396927286")</f>
        <v>P396927286</v>
      </c>
    </row>
    <row r="400" spans="1:1" x14ac:dyDescent="0.3">
      <c r="A400" s="1" t="str">
        <f>HYPERLINK("./glaucoma/P417535964.png", "P417535964")</f>
        <v>P417535964</v>
      </c>
    </row>
    <row r="401" spans="1:1" x14ac:dyDescent="0.3">
      <c r="A401" s="1" t="str">
        <f>HYPERLINK("./glaucoma/P433950674.jpg", "P433950674")</f>
        <v>P433950674</v>
      </c>
    </row>
    <row r="402" spans="1:1" x14ac:dyDescent="0.3">
      <c r="A402" s="1" t="str">
        <f>HYPERLINK("./glaucoma/P447837010.jpg", "P447837010")</f>
        <v>P447837010</v>
      </c>
    </row>
    <row r="404" spans="1:1" x14ac:dyDescent="0.3">
      <c r="A404" s="1" t="str">
        <f>HYPERLINK("./glaucoma/P473269457.jpg", "P473269457")</f>
        <v>P473269457</v>
      </c>
    </row>
    <row r="405" spans="1:1" x14ac:dyDescent="0.3">
      <c r="A405" s="1" t="str">
        <f>HYPERLINK("./glaucoma/P516098904.jpg", "P516098904")</f>
        <v>P516098904</v>
      </c>
    </row>
    <row r="406" spans="1:1" x14ac:dyDescent="0.3">
      <c r="A406" s="1" t="str">
        <f>HYPERLINK("./glaucoma/P655242380.jpg", "P655242380")</f>
        <v>P655242380</v>
      </c>
    </row>
    <row r="407" spans="1:1" x14ac:dyDescent="0.3">
      <c r="A407" s="1" t="str">
        <f>HYPERLINK("./glaucoma/P670259139.jpg", "P670259139")</f>
        <v>P670259139</v>
      </c>
    </row>
    <row r="408" spans="1:1" x14ac:dyDescent="0.3">
      <c r="A408" s="1" t="str">
        <f>HYPERLINK("./glaucoma/P673130054.png", "P673130054")</f>
        <v>P673130054</v>
      </c>
    </row>
    <row r="409" spans="1:1" x14ac:dyDescent="0.3">
      <c r="A409" s="1" t="str">
        <f>HYPERLINK("./glaucoma/P779258625.png", "P779258625")</f>
        <v>P779258625</v>
      </c>
    </row>
    <row r="410" spans="1:1" x14ac:dyDescent="0.3">
      <c r="A410" s="1" t="str">
        <f>HYPERLINK("./glaucoma/P854757013.jpg", "P854757013")</f>
        <v>P854757013</v>
      </c>
    </row>
    <row r="411" spans="1:1" x14ac:dyDescent="0.3">
      <c r="A411" s="1" t="str">
        <f>HYPERLINK("./glaucoma/P880197990.jpg", "P880197990")</f>
        <v>P880197990</v>
      </c>
    </row>
    <row r="412" spans="1:1" x14ac:dyDescent="0.3">
      <c r="A412" s="1" t="str">
        <f>HYPERLINK("./glaucoma/P902412979.jpg", "P902412979")</f>
        <v>P902412979</v>
      </c>
    </row>
    <row r="413" spans="1:1" x14ac:dyDescent="0.3">
      <c r="A413" s="1" t="str">
        <f>HYPERLINK("./glaucoma/P909179136.jpg", "P909179136")</f>
        <v>P909179136</v>
      </c>
    </row>
    <row r="414" spans="1:1" x14ac:dyDescent="0.3">
      <c r="A414" s="1" t="str">
        <f>HYPERLINK("./glaucoma/Q001044685.png", "Q001044685")</f>
        <v>Q001044685</v>
      </c>
    </row>
    <row r="415" spans="1:1" x14ac:dyDescent="0.3">
      <c r="A415" s="1" t="str">
        <f>HYPERLINK("./glaucoma/Q005939285.png", "Q005939285")</f>
        <v>Q005939285</v>
      </c>
    </row>
    <row r="416" spans="1:1" x14ac:dyDescent="0.3">
      <c r="A416" s="1" t="str">
        <f>HYPERLINK("./glaucoma/Q008764515.jpg", "Q008764515")</f>
        <v>Q008764515</v>
      </c>
    </row>
    <row r="417" spans="1:1" x14ac:dyDescent="0.3">
      <c r="A417" s="1" t="str">
        <f>HYPERLINK("./glaucoma/Q025990353.jpg", "Q025990353")</f>
        <v>Q025990353</v>
      </c>
    </row>
    <row r="418" spans="1:1" x14ac:dyDescent="0.3">
      <c r="A418" s="1" t="str">
        <f>HYPERLINK("./glaucoma/Q087555976.jpg", "Q087555976")</f>
        <v>Q087555976</v>
      </c>
    </row>
    <row r="419" spans="1:1" x14ac:dyDescent="0.3">
      <c r="A419" s="1" t="str">
        <f>HYPERLINK("./glaucoma/Q171838046.png", "Q171838046")</f>
        <v>Q171838046</v>
      </c>
    </row>
    <row r="420" spans="1:1" x14ac:dyDescent="0.3">
      <c r="A420" s="1" t="str">
        <f>HYPERLINK("./glaucoma/Q252119131.jpg", "Q252119131")</f>
        <v>Q252119131</v>
      </c>
    </row>
    <row r="421" spans="1:1" x14ac:dyDescent="0.3">
      <c r="A421" s="1" t="str">
        <f>HYPERLINK("./glaucoma/Q281717502.jpg", "Q281717502")</f>
        <v>Q281717502</v>
      </c>
    </row>
    <row r="422" spans="1:1" x14ac:dyDescent="0.3">
      <c r="A422" s="1" t="str">
        <f>HYPERLINK("./glaucoma/Q349111110.png", "Q349111110")</f>
        <v>Q349111110</v>
      </c>
    </row>
    <row r="423" spans="1:1" x14ac:dyDescent="0.3">
      <c r="A423" s="1" t="str">
        <f>HYPERLINK("./glaucoma/Q434136740.jpg", "Q434136740")</f>
        <v>Q434136740</v>
      </c>
    </row>
    <row r="424" spans="1:1" x14ac:dyDescent="0.3">
      <c r="A424" s="1" t="str">
        <f>HYPERLINK("./glaucoma/Q601837517.png", "Q601837517")</f>
        <v>Q601837517</v>
      </c>
    </row>
    <row r="425" spans="1:1" x14ac:dyDescent="0.3">
      <c r="A425" s="1" t="str">
        <f>HYPERLINK("./glaucoma/Q770440528.png", "Q770440528")</f>
        <v>Q770440528</v>
      </c>
    </row>
    <row r="426" spans="1:1" x14ac:dyDescent="0.3">
      <c r="A426" s="1" t="str">
        <f>HYPERLINK("./glaucoma/Q778412102.jpg", "Q778412102")</f>
        <v>Q778412102</v>
      </c>
    </row>
    <row r="427" spans="1:1" x14ac:dyDescent="0.3">
      <c r="A427" s="1" t="str">
        <f>HYPERLINK("./glaucoma/Q800946053.png", "Q800946053")</f>
        <v>Q800946053</v>
      </c>
    </row>
    <row r="428" spans="1:1" x14ac:dyDescent="0.3">
      <c r="A428" s="1" t="str">
        <f>HYPERLINK("./glaucoma/Q823562569.png", "Q823562569")</f>
        <v>Q823562569</v>
      </c>
    </row>
    <row r="429" spans="1:1" x14ac:dyDescent="0.3">
      <c r="A429" s="1" t="str">
        <f>HYPERLINK("./glaucoma/Q932735619.jpg", "Q932735619")</f>
        <v>Q932735619</v>
      </c>
    </row>
    <row r="430" spans="1:1" x14ac:dyDescent="0.3">
      <c r="A430" s="1" t="str">
        <f>HYPERLINK("./glaucoma/Q978654986.jpg", "Q978654986")</f>
        <v>Q978654986</v>
      </c>
    </row>
    <row r="431" spans="1:1" x14ac:dyDescent="0.3">
      <c r="A431" s="1" t="str">
        <f>HYPERLINK("./glaucoma/R010091051.png", "R010091051")</f>
        <v>R010091051</v>
      </c>
    </row>
    <row r="432" spans="1:1" x14ac:dyDescent="0.3">
      <c r="A432" s="1" t="str">
        <f>HYPERLINK("./glaucoma/R103727065.png", "R103727065")</f>
        <v>R103727065</v>
      </c>
    </row>
    <row r="433" spans="1:1" x14ac:dyDescent="0.3">
      <c r="A433" s="1" t="str">
        <f>HYPERLINK("./glaucoma/R124484409.jpg", "R124484409")</f>
        <v>R124484409</v>
      </c>
    </row>
    <row r="434" spans="1:1" x14ac:dyDescent="0.3">
      <c r="A434" s="1" t="str">
        <f>HYPERLINK("./glaucoma/R140279324.png", "R140279324")</f>
        <v>R140279324</v>
      </c>
    </row>
    <row r="435" spans="1:1" x14ac:dyDescent="0.3">
      <c r="A435" s="1" t="str">
        <f>HYPERLINK("./glaucoma/R159863426.png", "R159863426")</f>
        <v>R159863426</v>
      </c>
    </row>
    <row r="436" spans="1:1" x14ac:dyDescent="0.3">
      <c r="A436" s="1" t="str">
        <f>HYPERLINK("./glaucoma/R164144201.png", "R164144201")</f>
        <v>R164144201</v>
      </c>
    </row>
    <row r="437" spans="1:1" x14ac:dyDescent="0.3">
      <c r="A437" s="1" t="str">
        <f>HYPERLINK("./glaucoma/R170176177.png", "R170176177")</f>
        <v>R170176177</v>
      </c>
    </row>
    <row r="438" spans="1:1" x14ac:dyDescent="0.3">
      <c r="A438" s="1" t="str">
        <f>HYPERLINK("./glaucoma/R199564401.jpg", "R199564401")</f>
        <v>R199564401</v>
      </c>
    </row>
    <row r="439" spans="1:1" x14ac:dyDescent="0.3">
      <c r="A439" s="1" t="str">
        <f>HYPERLINK("./glaucoma/R215127877.jpg", "R215127877")</f>
        <v>R215127877</v>
      </c>
    </row>
    <row r="440" spans="1:1" x14ac:dyDescent="0.3">
      <c r="A440" s="1" t="str">
        <f>HYPERLINK("./glaucoma/R229604698.jpg", "R229604698")</f>
        <v>R229604698</v>
      </c>
    </row>
    <row r="441" spans="1:1" x14ac:dyDescent="0.3">
      <c r="A441" s="1" t="str">
        <f>HYPERLINK("./glaucoma/R276525997.png", "R276525997")</f>
        <v>R276525997</v>
      </c>
    </row>
    <row r="442" spans="1:1" x14ac:dyDescent="0.3">
      <c r="A442" s="1" t="str">
        <f>HYPERLINK("./glaucoma/R312101026.jpg", "R312101026")</f>
        <v>R312101026</v>
      </c>
    </row>
    <row r="443" spans="1:1" x14ac:dyDescent="0.3">
      <c r="A443" s="1" t="str">
        <f>HYPERLINK("./glaucoma/R352599507.png", "R352599507")</f>
        <v>R352599507</v>
      </c>
    </row>
    <row r="444" spans="1:1" x14ac:dyDescent="0.3">
      <c r="A444" s="1" t="str">
        <f>HYPERLINK("./glaucoma/R364964312.png", "R364964312")</f>
        <v>R364964312</v>
      </c>
    </row>
    <row r="445" spans="1:1" x14ac:dyDescent="0.3">
      <c r="A445" s="1" t="str">
        <f>HYPERLINK("./glaucoma/R382692434.png", "R382692434")</f>
        <v>R382692434</v>
      </c>
    </row>
    <row r="446" spans="1:1" x14ac:dyDescent="0.3">
      <c r="A446" s="1" t="str">
        <f>HYPERLINK("./glaucoma/R394794981.png", "R394794981")</f>
        <v>R394794981</v>
      </c>
    </row>
    <row r="447" spans="1:1" x14ac:dyDescent="0.3">
      <c r="A447" s="1" t="str">
        <f>HYPERLINK("./glaucoma/R409738889.jpg", "R409738889")</f>
        <v>R409738889</v>
      </c>
    </row>
    <row r="448" spans="1:1" x14ac:dyDescent="0.3">
      <c r="A448" s="1" t="str">
        <f>HYPERLINK("./glaucoma/R413649016.png", "R413649016")</f>
        <v>R413649016</v>
      </c>
    </row>
    <row r="449" spans="1:1" x14ac:dyDescent="0.3">
      <c r="A449" s="1" t="str">
        <f>HYPERLINK("./glaucoma/R451654317.png", "R451654317")</f>
        <v>R451654317</v>
      </c>
    </row>
    <row r="450" spans="1:1" x14ac:dyDescent="0.3">
      <c r="A450" s="1" t="str">
        <f>HYPERLINK("./glaucoma/R457999017.jpg", "R457999017")</f>
        <v>R457999017</v>
      </c>
    </row>
    <row r="451" spans="1:1" x14ac:dyDescent="0.3">
      <c r="A451" s="1" t="str">
        <f>HYPERLINK("./glaucoma/R684226907.jpg", "R684226907")</f>
        <v>R684226907</v>
      </c>
    </row>
    <row r="452" spans="1:1" x14ac:dyDescent="0.3">
      <c r="A452" s="1" t="str">
        <f>HYPERLINK("./glaucoma/R686870734.jpg", "R686870734")</f>
        <v>R686870734</v>
      </c>
    </row>
    <row r="453" spans="1:1" x14ac:dyDescent="0.3">
      <c r="A453" s="1" t="str">
        <f>HYPERLINK("./glaucoma/R710556613.jpg", "R710556613")</f>
        <v>R710556613</v>
      </c>
    </row>
    <row r="454" spans="1:1" x14ac:dyDescent="0.3">
      <c r="A454" s="1" t="str">
        <f>HYPERLINK("./glaucoma/R712842153.jpg", "R712842153")</f>
        <v>R712842153</v>
      </c>
    </row>
    <row r="455" spans="1:1" x14ac:dyDescent="0.3">
      <c r="A455" s="1" t="str">
        <f>HYPERLINK("./glaucoma/R716714995.jpg", "R716714995")</f>
        <v>R716714995</v>
      </c>
    </row>
    <row r="456" spans="1:1" x14ac:dyDescent="0.3">
      <c r="A456" s="1" t="str">
        <f>HYPERLINK("./glaucoma/R720701310.png", "R720701310")</f>
        <v>R720701310</v>
      </c>
    </row>
    <row r="457" spans="1:1" x14ac:dyDescent="0.3">
      <c r="A457" s="1" t="str">
        <f>HYPERLINK("./glaucoma/R779665534.png", "R779665534")</f>
        <v>R779665534</v>
      </c>
    </row>
    <row r="458" spans="1:1" x14ac:dyDescent="0.3">
      <c r="A458" s="1" t="str">
        <f>HYPERLINK("./glaucoma/R848215257.jpg", "R848215257")</f>
        <v>R848215257</v>
      </c>
    </row>
    <row r="459" spans="1:1" x14ac:dyDescent="0.3">
      <c r="A459" s="1" t="str">
        <f>HYPERLINK("./glaucoma/R861544961.png", "R861544961")</f>
        <v>R861544961</v>
      </c>
    </row>
    <row r="460" spans="1:1" x14ac:dyDescent="0.3">
      <c r="A460" s="1" t="str">
        <f>HYPERLINK("./glaucoma/R873789819.jpg", "R873789819")</f>
        <v>R873789819</v>
      </c>
    </row>
    <row r="461" spans="1:1" x14ac:dyDescent="0.3">
      <c r="A461" s="1" t="str">
        <f>HYPERLINK("./glaucoma/R896887361.jpg", "R896887361")</f>
        <v>R896887361</v>
      </c>
    </row>
    <row r="462" spans="1:1" x14ac:dyDescent="0.3">
      <c r="A462" s="1" t="str">
        <f>HYPERLINK("./glaucoma/R915855390.png", "R915855390")</f>
        <v>R915855390</v>
      </c>
    </row>
    <row r="463" spans="1:1" x14ac:dyDescent="0.3">
      <c r="A463" s="1" t="str">
        <f>HYPERLINK("./glaucoma/R950903396.jpg", "R950903396")</f>
        <v>R950903396</v>
      </c>
    </row>
    <row r="464" spans="1:1" x14ac:dyDescent="0.3">
      <c r="A464" s="1" t="str">
        <f>HYPERLINK("./glaucoma/S064900001.jpg", "S064900001")</f>
        <v>S064900001</v>
      </c>
    </row>
    <row r="465" spans="1:1" x14ac:dyDescent="0.3">
      <c r="A465" s="1" t="str">
        <f>HYPERLINK("./glaucoma/S070517432.png", "S070517432")</f>
        <v>S070517432</v>
      </c>
    </row>
    <row r="466" spans="1:1" x14ac:dyDescent="0.3">
      <c r="A466" s="1" t="str">
        <f>HYPERLINK("./glaucoma/S138040926.jpg", "S138040926")</f>
        <v>S138040926</v>
      </c>
    </row>
    <row r="467" spans="1:1" x14ac:dyDescent="0.3">
      <c r="A467" s="1" t="str">
        <f>HYPERLINK("./glaucoma/S195340062.jpg", "S195340062")</f>
        <v>S195340062</v>
      </c>
    </row>
    <row r="468" spans="1:1" x14ac:dyDescent="0.3">
      <c r="A468" s="1" t="str">
        <f>HYPERLINK("./glaucoma/S288096248.jpg", "S288096248")</f>
        <v>S288096248</v>
      </c>
    </row>
    <row r="469" spans="1:1" x14ac:dyDescent="0.3">
      <c r="A469" s="1" t="str">
        <f>HYPERLINK("./glaucoma/S288788121.png", "S288788121")</f>
        <v>S288788121</v>
      </c>
    </row>
    <row r="470" spans="1:1" x14ac:dyDescent="0.3">
      <c r="A470" s="1" t="str">
        <f>HYPERLINK("./glaucoma/S493802876.jpg", "S493802876")</f>
        <v>S493802876</v>
      </c>
    </row>
    <row r="471" spans="1:1" x14ac:dyDescent="0.3">
      <c r="A471" s="1" t="str">
        <f>HYPERLINK("./glaucoma/S528539100.png", "S528539100")</f>
        <v>S528539100</v>
      </c>
    </row>
    <row r="472" spans="1:1" x14ac:dyDescent="0.3">
      <c r="A472" s="1" t="str">
        <f>HYPERLINK("./glaucoma/S547019043.jpg", "S547019043")</f>
        <v>S547019043</v>
      </c>
    </row>
    <row r="473" spans="1:1" x14ac:dyDescent="0.3">
      <c r="A473" s="1" t="str">
        <f>HYPERLINK("./glaucoma/S607939779.png", "S607939779")</f>
        <v>S607939779</v>
      </c>
    </row>
    <row r="474" spans="1:1" x14ac:dyDescent="0.3">
      <c r="A474" s="1" t="str">
        <f>HYPERLINK("./glaucoma/S653932479.jpg", "S653932479")</f>
        <v>S653932479</v>
      </c>
    </row>
    <row r="475" spans="1:1" x14ac:dyDescent="0.3">
      <c r="A475" s="1" t="str">
        <f>HYPERLINK("./glaucoma/S696576225.jpg", "S696576225")</f>
        <v>S696576225</v>
      </c>
    </row>
    <row r="476" spans="1:1" x14ac:dyDescent="0.3">
      <c r="A476" s="1" t="str">
        <f>HYPERLINK("./glaucoma/S714858756.jpg", "S714858756")</f>
        <v>S714858756</v>
      </c>
    </row>
    <row r="477" spans="1:1" x14ac:dyDescent="0.3">
      <c r="A477" s="1" t="str">
        <f>HYPERLINK("./glaucoma/S775504624.png", "S775504624")</f>
        <v>S775504624</v>
      </c>
    </row>
    <row r="478" spans="1:1" x14ac:dyDescent="0.3">
      <c r="A478" s="1" t="str">
        <f>HYPERLINK("./glaucoma/S777483336.png", "S777483336")</f>
        <v>S777483336</v>
      </c>
    </row>
    <row r="479" spans="1:1" x14ac:dyDescent="0.3">
      <c r="A479" s="1" t="str">
        <f>HYPERLINK("./glaucoma/S914802684.jpg", "S914802684")</f>
        <v>S914802684</v>
      </c>
    </row>
    <row r="480" spans="1:1" x14ac:dyDescent="0.3">
      <c r="A480" s="1" t="str">
        <f>HYPERLINK("./glaucoma/S963150167.jpg", "S963150167")</f>
        <v>S963150167</v>
      </c>
    </row>
    <row r="481" spans="1:1" x14ac:dyDescent="0.3">
      <c r="A481" s="1" t="str">
        <f>HYPERLINK("./glaucoma/T020845850.jpg", "T020845850")</f>
        <v>T020845850</v>
      </c>
    </row>
    <row r="482" spans="1:1" x14ac:dyDescent="0.3">
      <c r="A482" s="1" t="str">
        <f>HYPERLINK("./glaucoma/T175583568.png", "T175583568")</f>
        <v>T175583568</v>
      </c>
    </row>
    <row r="483" spans="1:1" x14ac:dyDescent="0.3">
      <c r="A483" s="1" t="str">
        <f>HYPERLINK("./glaucoma/T251764661.jpg", "T251764661")</f>
        <v>T251764661</v>
      </c>
    </row>
    <row r="484" spans="1:1" x14ac:dyDescent="0.3">
      <c r="A484" s="1" t="str">
        <f>HYPERLINK("./glaucoma/T298470561.jpg", "T298470561")</f>
        <v>T298470561</v>
      </c>
    </row>
    <row r="485" spans="1:1" x14ac:dyDescent="0.3">
      <c r="A485" s="1" t="str">
        <f>HYPERLINK("./glaucoma/T319345738.png", "T319345738")</f>
        <v>T319345738</v>
      </c>
    </row>
    <row r="486" spans="1:1" x14ac:dyDescent="0.3">
      <c r="A486" s="1" t="str">
        <f>HYPERLINK("./glaucoma/T348002550.jpg", "T348002550")</f>
        <v>T348002550</v>
      </c>
    </row>
    <row r="487" spans="1:1" x14ac:dyDescent="0.3">
      <c r="A487" s="1" t="str">
        <f>HYPERLINK("./glaucoma/T409831839.jpg", "T409831839")</f>
        <v>T409831839</v>
      </c>
    </row>
    <row r="488" spans="1:1" x14ac:dyDescent="0.3">
      <c r="A488" s="1" t="str">
        <f>HYPERLINK("./glaucoma/T499579182.png", "T499579182")</f>
        <v>T499579182</v>
      </c>
    </row>
    <row r="489" spans="1:1" x14ac:dyDescent="0.3">
      <c r="A489" s="1" t="str">
        <f>HYPERLINK("./glaucoma/T501610570.jpg", "T501610570")</f>
        <v>T501610570</v>
      </c>
    </row>
    <row r="490" spans="1:1" x14ac:dyDescent="0.3">
      <c r="A490" s="1" t="str">
        <f>HYPERLINK("./glaucoma/T510564135.png", "T510564135")</f>
        <v>T510564135</v>
      </c>
    </row>
    <row r="491" spans="1:1" x14ac:dyDescent="0.3">
      <c r="A491" s="1" t="str">
        <f>HYPERLINK("./glaucoma/T539459493.jpg", "T539459493")</f>
        <v>T539459493</v>
      </c>
    </row>
    <row r="492" spans="1:1" x14ac:dyDescent="0.3">
      <c r="A492" s="1" t="str">
        <f>HYPERLINK("./glaucoma/T545614053.jpg", "T545614053")</f>
        <v>T545614053</v>
      </c>
    </row>
    <row r="493" spans="1:1" x14ac:dyDescent="0.3">
      <c r="A493" s="1" t="str">
        <f>HYPERLINK("./glaucoma/T555436644.jpg", "T555436644")</f>
        <v>T555436644</v>
      </c>
    </row>
    <row r="494" spans="1:1" x14ac:dyDescent="0.3">
      <c r="A494" s="1" t="str">
        <f>HYPERLINK("./glaucoma/T564839866.png", "T564839866")</f>
        <v>T564839866</v>
      </c>
    </row>
    <row r="495" spans="1:1" x14ac:dyDescent="0.3">
      <c r="A495" s="1" t="str">
        <f>HYPERLINK("./glaucoma/T593201268.png", "T593201268")</f>
        <v>T593201268</v>
      </c>
    </row>
    <row r="496" spans="1:1" x14ac:dyDescent="0.3">
      <c r="A496" s="1" t="str">
        <f>HYPERLINK("./glaucoma/T714749103.png", "T714749103")</f>
        <v>T714749103</v>
      </c>
    </row>
    <row r="497" spans="1:1" x14ac:dyDescent="0.3">
      <c r="A497" s="1" t="str">
        <f>HYPERLINK("./glaucoma/T819912766.jpg", "T819912766")</f>
        <v>T819912766</v>
      </c>
    </row>
    <row r="498" spans="1:1" x14ac:dyDescent="0.3">
      <c r="A498" s="1" t="str">
        <f>HYPERLINK("./glaucoma/T869856785.jpg", "T869856785")</f>
        <v>T869856785</v>
      </c>
    </row>
    <row r="499" spans="1:1" x14ac:dyDescent="0.3">
      <c r="A499" s="1" t="str">
        <f>HYPERLINK("./glaucoma/T875680222.png", "T875680222")</f>
        <v>T875680222</v>
      </c>
    </row>
    <row r="500" spans="1:1" x14ac:dyDescent="0.3">
      <c r="A500" s="1" t="str">
        <f>HYPERLINK("./glaucoma/T899742075.jpg", "T899742075")</f>
        <v>T899742075</v>
      </c>
    </row>
    <row r="501" spans="1:1" x14ac:dyDescent="0.3">
      <c r="A501" s="1" t="str">
        <f>HYPERLINK("./glaucoma/T905655419.jpg", "T905655419")</f>
        <v>T905655419</v>
      </c>
    </row>
    <row r="502" spans="1:1" x14ac:dyDescent="0.3">
      <c r="A502" s="1" t="str">
        <f>HYPERLINK("./glaucoma/T906058152.jpg", "T906058152")</f>
        <v>T906058152</v>
      </c>
    </row>
    <row r="503" spans="1:1" x14ac:dyDescent="0.3">
      <c r="A503" s="1" t="str">
        <f>HYPERLINK("./glaucoma/T933671660.png", "T933671660")</f>
        <v>T933671660</v>
      </c>
    </row>
    <row r="504" spans="1:1" x14ac:dyDescent="0.3">
      <c r="A504" s="1" t="str">
        <f>HYPERLINK("./glaucoma/T964850728.jpg", "T964850728")</f>
        <v>T964850728</v>
      </c>
    </row>
    <row r="505" spans="1:1" x14ac:dyDescent="0.3">
      <c r="A505" s="1" t="str">
        <f>HYPERLINK("./glaucoma/T999897966.png", "T999897966")</f>
        <v>T999897966</v>
      </c>
    </row>
    <row r="506" spans="1:1" x14ac:dyDescent="0.3">
      <c r="A506" s="1" t="str">
        <f>HYPERLINK("./glaucoma/U021051016.jpg", "U021051016")</f>
        <v>U021051016</v>
      </c>
    </row>
    <row r="507" spans="1:1" x14ac:dyDescent="0.3">
      <c r="A507" s="1" t="str">
        <f>HYPERLINK("./glaucoma/U033921017.jpg", "U033921017")</f>
        <v>U033921017</v>
      </c>
    </row>
    <row r="508" spans="1:1" x14ac:dyDescent="0.3">
      <c r="A508" s="1" t="str">
        <f>HYPERLINK("./glaucoma/U065916565.jpg", "U065916565")</f>
        <v>U065916565</v>
      </c>
    </row>
    <row r="509" spans="1:1" x14ac:dyDescent="0.3">
      <c r="A509" s="1" t="str">
        <f>HYPERLINK("./glaucoma/U128556186.jpg", "U128556186")</f>
        <v>U128556186</v>
      </c>
    </row>
    <row r="510" spans="1:1" x14ac:dyDescent="0.3">
      <c r="A510" s="1" t="str">
        <f>HYPERLINK("./glaucoma/U128717193.png", "U128717193")</f>
        <v>U128717193</v>
      </c>
    </row>
    <row r="511" spans="1:1" x14ac:dyDescent="0.3">
      <c r="A511" s="1" t="str">
        <f>HYPERLINK("./glaucoma/U193971836.png", "U193971836")</f>
        <v>U193971836</v>
      </c>
    </row>
    <row r="512" spans="1:1" x14ac:dyDescent="0.3">
      <c r="A512" s="1" t="str">
        <f>HYPERLINK("./glaucoma/U235476836.jpg", "U235476836")</f>
        <v>U235476836</v>
      </c>
    </row>
    <row r="513" spans="1:1" x14ac:dyDescent="0.3">
      <c r="A513" s="1" t="str">
        <f>HYPERLINK("./glaucoma/U254431674.png", "U254431674")</f>
        <v>U254431674</v>
      </c>
    </row>
    <row r="514" spans="1:1" x14ac:dyDescent="0.3">
      <c r="A514" s="1" t="str">
        <f>HYPERLINK("./glaucoma/U344171218.png", "U344171218")</f>
        <v>U344171218</v>
      </c>
    </row>
    <row r="515" spans="1:1" x14ac:dyDescent="0.3">
      <c r="A515" s="1" t="str">
        <f>HYPERLINK("./glaucoma/U358934697.jpg", "U358934697")</f>
        <v>U358934697</v>
      </c>
    </row>
    <row r="516" spans="1:1" x14ac:dyDescent="0.3">
      <c r="A516" s="1" t="str">
        <f>HYPERLINK("./glaucoma/U384119977.jpg", "U384119977")</f>
        <v>U384119977</v>
      </c>
    </row>
    <row r="517" spans="1:1" x14ac:dyDescent="0.3">
      <c r="A517" s="1" t="str">
        <f>HYPERLINK("./glaucoma/U406167637.jpg", "U406167637")</f>
        <v>U406167637</v>
      </c>
    </row>
    <row r="518" spans="1:1" x14ac:dyDescent="0.3">
      <c r="A518" s="1" t="str">
        <f>HYPERLINK("./glaucoma/U459337317.png", "U459337317")</f>
        <v>U459337317</v>
      </c>
    </row>
    <row r="519" spans="1:1" x14ac:dyDescent="0.3">
      <c r="A519" s="1" t="str">
        <f>HYPERLINK("./glaucoma/U488926729.jpg", "U488926729")</f>
        <v>U488926729</v>
      </c>
    </row>
    <row r="520" spans="1:1" x14ac:dyDescent="0.3">
      <c r="A520" s="1" t="str">
        <f>HYPERLINK("./glaucoma/U499543263.png", "U499543263")</f>
        <v>U499543263</v>
      </c>
    </row>
    <row r="521" spans="1:1" x14ac:dyDescent="0.3">
      <c r="A521" s="1" t="str">
        <f>HYPERLINK("./glaucoma/U499700489.png", "U499700489")</f>
        <v>U499700489</v>
      </c>
    </row>
    <row r="522" spans="1:1" x14ac:dyDescent="0.3">
      <c r="A522" s="1" t="str">
        <f>HYPERLINK("./glaucoma/U576600558.jpg", "U576600558")</f>
        <v>U576600558</v>
      </c>
    </row>
    <row r="523" spans="1:1" x14ac:dyDescent="0.3">
      <c r="A523" s="1" t="str">
        <f>HYPERLINK("./glaucoma/U656870905.jpg", "U656870905")</f>
        <v>U656870905</v>
      </c>
    </row>
    <row r="524" spans="1:1" x14ac:dyDescent="0.3">
      <c r="A524" s="1" t="str">
        <f>HYPERLINK("./glaucoma/U665723610.jpg", "U665723610")</f>
        <v>U665723610</v>
      </c>
    </row>
    <row r="525" spans="1:1" x14ac:dyDescent="0.3">
      <c r="A525" s="1" t="str">
        <f>HYPERLINK("./glaucoma/U765391126.png", "U765391126")</f>
        <v>U765391126</v>
      </c>
    </row>
    <row r="526" spans="1:1" x14ac:dyDescent="0.3">
      <c r="A526" s="1" t="str">
        <f>HYPERLINK("./glaucoma/U787391455.png", "U787391455")</f>
        <v>U787391455</v>
      </c>
    </row>
    <row r="527" spans="1:1" x14ac:dyDescent="0.3">
      <c r="A527" s="1" t="str">
        <f>HYPERLINK("./glaucoma/U821817105.jpg", "U821817105")</f>
        <v>U821817105</v>
      </c>
    </row>
    <row r="528" spans="1:1" x14ac:dyDescent="0.3">
      <c r="A528" s="1" t="str">
        <f>HYPERLINK("./glaucoma/U828237525.png", "U828237525")</f>
        <v>U828237525</v>
      </c>
    </row>
    <row r="529" spans="1:1" x14ac:dyDescent="0.3">
      <c r="A529" s="1" t="str">
        <f>HYPERLINK("./glaucoma/U927849866.jpg", "U927849866")</f>
        <v>U927849866</v>
      </c>
    </row>
    <row r="530" spans="1:1" x14ac:dyDescent="0.3">
      <c r="A530" s="1" t="str">
        <f>HYPERLINK("./glaucoma/U932005359.jpg", "U932005359")</f>
        <v>U932005359</v>
      </c>
    </row>
    <row r="531" spans="1:1" x14ac:dyDescent="0.3">
      <c r="A531" s="1" t="str">
        <f>HYPERLINK("./glaucoma/U952527267.jpg", "U952527267")</f>
        <v>U952527267</v>
      </c>
    </row>
    <row r="532" spans="1:1" x14ac:dyDescent="0.3">
      <c r="A532" s="1" t="str">
        <f>HYPERLINK("./glaucoma/U966212652.jpg", "U966212652")</f>
        <v>U966212652</v>
      </c>
    </row>
    <row r="533" spans="1:1" x14ac:dyDescent="0.3">
      <c r="A533" s="1" t="str">
        <f>HYPERLINK("./glaucoma/V076247834.jpg", "V076247834")</f>
        <v>V076247834</v>
      </c>
    </row>
    <row r="534" spans="1:1" x14ac:dyDescent="0.3">
      <c r="A534" s="1" t="str">
        <f>HYPERLINK("./glaucoma/V110181117.png", "V110181117")</f>
        <v>V110181117</v>
      </c>
    </row>
    <row r="535" spans="1:1" x14ac:dyDescent="0.3">
      <c r="A535" s="1" t="str">
        <f>HYPERLINK("./glaucoma/V249717684.jpg", "V249717684")</f>
        <v>V249717684</v>
      </c>
    </row>
    <row r="536" spans="1:1" x14ac:dyDescent="0.3">
      <c r="A536" s="1" t="str">
        <f>HYPERLINK("./glaucoma/V285174321.png", "V285174321")</f>
        <v>V285174321</v>
      </c>
    </row>
    <row r="537" spans="1:1" x14ac:dyDescent="0.3">
      <c r="A537" s="1" t="str">
        <f>HYPERLINK("./glaucoma/V333507599.png", "V333507599")</f>
        <v>V333507599</v>
      </c>
    </row>
    <row r="538" spans="1:1" x14ac:dyDescent="0.3">
      <c r="A538" s="1" t="str">
        <f>HYPERLINK("./glaucoma/V388147311.jpg", "V388147311")</f>
        <v>V388147311</v>
      </c>
    </row>
    <row r="539" spans="1:1" x14ac:dyDescent="0.3">
      <c r="A539" s="1" t="str">
        <f>HYPERLINK("./glaucoma/V402544312.png", "V402544312")</f>
        <v>V402544312</v>
      </c>
    </row>
    <row r="540" spans="1:1" x14ac:dyDescent="0.3">
      <c r="A540" s="1" t="str">
        <f>HYPERLINK("./glaucoma/V497177135.png", "V497177135")</f>
        <v>V497177135</v>
      </c>
    </row>
    <row r="541" spans="1:1" x14ac:dyDescent="0.3">
      <c r="A541" s="1" t="str">
        <f>HYPERLINK("./glaucoma/V533650468.jpg", "V533650468")</f>
        <v>V533650468</v>
      </c>
    </row>
    <row r="542" spans="1:1" x14ac:dyDescent="0.3">
      <c r="A542" s="1" t="str">
        <f>HYPERLINK("./glaucoma/V553930448.jpg", "V553930448")</f>
        <v>V553930448</v>
      </c>
    </row>
    <row r="543" spans="1:1" x14ac:dyDescent="0.3">
      <c r="A543" s="1" t="str">
        <f>HYPERLINK("./glaucoma/V560581635.png", "V560581635")</f>
        <v>V560581635</v>
      </c>
    </row>
    <row r="544" spans="1:1" x14ac:dyDescent="0.3">
      <c r="A544" s="1" t="str">
        <f>HYPERLINK("./glaucoma/V589244820.png", "V589244820")</f>
        <v>V589244820</v>
      </c>
    </row>
    <row r="545" spans="1:1" x14ac:dyDescent="0.3">
      <c r="A545" s="1" t="str">
        <f>HYPERLINK("./glaucoma/V601726385.jpg", "V601726385")</f>
        <v>V601726385</v>
      </c>
    </row>
    <row r="546" spans="1:1" x14ac:dyDescent="0.3">
      <c r="A546" s="1" t="str">
        <f>HYPERLINK("./glaucoma/V641398242.jpg", "V641398242")</f>
        <v>V641398242</v>
      </c>
    </row>
    <row r="547" spans="1:1" x14ac:dyDescent="0.3">
      <c r="A547" s="1" t="str">
        <f>HYPERLINK("./glaucoma/V739938034.jpg", "V739938034")</f>
        <v>V739938034</v>
      </c>
    </row>
    <row r="548" spans="1:1" x14ac:dyDescent="0.3">
      <c r="A548" s="1" t="str">
        <f>HYPERLINK("./glaucoma/V779644554.png", "V779644554")</f>
        <v>V779644554</v>
      </c>
    </row>
    <row r="549" spans="1:1" x14ac:dyDescent="0.3">
      <c r="A549" s="1" t="str">
        <f>HYPERLINK("./glaucoma/V781972487.jpg", "V781972487")</f>
        <v>V781972487</v>
      </c>
    </row>
    <row r="550" spans="1:1" x14ac:dyDescent="0.3">
      <c r="A550" s="1" t="str">
        <f>HYPERLINK("./glaucoma/V783908801.jpg", "V783908801")</f>
        <v>V783908801</v>
      </c>
    </row>
    <row r="551" spans="1:1" x14ac:dyDescent="0.3">
      <c r="A551" s="1" t="str">
        <f>HYPERLINK("./glaucoma/V791312778.jpg", "V791312778")</f>
        <v>V791312778</v>
      </c>
    </row>
    <row r="552" spans="1:1" x14ac:dyDescent="0.3">
      <c r="A552" s="1" t="str">
        <f>HYPERLINK("./glaucoma/V845647819.jpg", "V845647819")</f>
        <v>V845647819</v>
      </c>
    </row>
    <row r="553" spans="1:1" x14ac:dyDescent="0.3">
      <c r="A553" s="1" t="str">
        <f>HYPERLINK("./glaucoma/V910288413.png", "V910288413")</f>
        <v>V910288413</v>
      </c>
    </row>
    <row r="554" spans="1:1" x14ac:dyDescent="0.3">
      <c r="A554" s="1" t="str">
        <f>HYPERLINK("./glaucoma/V919833023.jpg", "V919833023")</f>
        <v>V919833023</v>
      </c>
    </row>
    <row r="555" spans="1:1" x14ac:dyDescent="0.3">
      <c r="A555" s="1" t="str">
        <f>HYPERLINK("./glaucoma/V987300059.png", "V987300059")</f>
        <v>V987300059</v>
      </c>
    </row>
    <row r="556" spans="1:1" x14ac:dyDescent="0.3">
      <c r="A556" s="1" t="str">
        <f>HYPERLINK("./glaucoma/W006194529.png", "W006194529")</f>
        <v>W006194529</v>
      </c>
    </row>
    <row r="557" spans="1:1" x14ac:dyDescent="0.3">
      <c r="A557" s="1" t="str">
        <f>HYPERLINK("./glaucoma/W010507026.jpg", "W010507026")</f>
        <v>W010507026</v>
      </c>
    </row>
    <row r="558" spans="1:1" x14ac:dyDescent="0.3">
      <c r="A558" s="1" t="str">
        <f>HYPERLINK("./glaucoma/W026803226.jpg", "W026803226")</f>
        <v>W026803226</v>
      </c>
    </row>
    <row r="559" spans="1:1" x14ac:dyDescent="0.3">
      <c r="A559" s="1" t="str">
        <f>HYPERLINK("./glaucoma/W034651399.jpg", "W034651399")</f>
        <v>W034651399</v>
      </c>
    </row>
    <row r="560" spans="1:1" x14ac:dyDescent="0.3">
      <c r="A560" s="1" t="str">
        <f>HYPERLINK("./glaucoma/W062664168.png", "W062664168")</f>
        <v>W062664168</v>
      </c>
    </row>
    <row r="561" spans="1:1" x14ac:dyDescent="0.3">
      <c r="A561" s="1" t="str">
        <f>HYPERLINK("./glaucoma/W084920434.jpg", "W084920434")</f>
        <v>W084920434</v>
      </c>
    </row>
    <row r="562" spans="1:1" x14ac:dyDescent="0.3">
      <c r="A562" s="1" t="str">
        <f>HYPERLINK("./glaucoma/W138897092.png", "W138897092")</f>
        <v>W138897092</v>
      </c>
    </row>
    <row r="563" spans="1:1" x14ac:dyDescent="0.3">
      <c r="A563" s="1" t="str">
        <f>HYPERLINK("./glaucoma/W141584073.png", "W141584073")</f>
        <v>W141584073</v>
      </c>
    </row>
    <row r="564" spans="1:1" x14ac:dyDescent="0.3">
      <c r="A564" s="1" t="str">
        <f>HYPERLINK("./glaucoma/W264448683.jpg", "W264448683")</f>
        <v>W264448683</v>
      </c>
    </row>
    <row r="565" spans="1:1" x14ac:dyDescent="0.3">
      <c r="A565" s="1" t="str">
        <f>HYPERLINK("./glaucoma/W328473461.png", "W328473461")</f>
        <v>W328473461</v>
      </c>
    </row>
    <row r="566" spans="1:1" x14ac:dyDescent="0.3">
      <c r="A566" s="1" t="str">
        <f>HYPERLINK("./glaucoma/W360937135.jpg", "W360937135")</f>
        <v>W360937135</v>
      </c>
    </row>
    <row r="567" spans="1:1" x14ac:dyDescent="0.3">
      <c r="A567" s="1" t="str">
        <f>HYPERLINK("./glaucoma/W378925165.jpg", "W378925165")</f>
        <v>W378925165</v>
      </c>
    </row>
    <row r="568" spans="1:1" x14ac:dyDescent="0.3">
      <c r="A568" s="1" t="str">
        <f>HYPERLINK("./glaucoma/W420092945.jpg", "W420092945")</f>
        <v>W420092945</v>
      </c>
    </row>
    <row r="569" spans="1:1" x14ac:dyDescent="0.3">
      <c r="A569" s="1" t="str">
        <f>HYPERLINK("./glaucoma/W462447767.jpg", "W462447767")</f>
        <v>W462447767</v>
      </c>
    </row>
    <row r="570" spans="1:1" x14ac:dyDescent="0.3">
      <c r="A570" s="1" t="str">
        <f>HYPERLINK("./glaucoma/W538572111.jpg", "W538572111")</f>
        <v>W538572111</v>
      </c>
    </row>
    <row r="571" spans="1:1" x14ac:dyDescent="0.3">
      <c r="A571" s="1" t="str">
        <f>HYPERLINK("./glaucoma/W661350187.jpg", "W661350187")</f>
        <v>W661350187</v>
      </c>
    </row>
    <row r="572" spans="1:1" x14ac:dyDescent="0.3">
      <c r="A572" s="1" t="str">
        <f>HYPERLINK("./glaucoma/W776643633.jpg", "W776643633")</f>
        <v>W776643633</v>
      </c>
    </row>
    <row r="573" spans="1:1" x14ac:dyDescent="0.3">
      <c r="A573" s="1" t="str">
        <f>HYPERLINK("./glaucoma/W862814466.png", "W862814466")</f>
        <v>W862814466</v>
      </c>
    </row>
    <row r="574" spans="1:1" x14ac:dyDescent="0.3">
      <c r="A574" s="1" t="str">
        <f>HYPERLINK("./glaucoma/W876357854.jpg", "W876357854")</f>
        <v>W876357854</v>
      </c>
    </row>
    <row r="575" spans="1:1" x14ac:dyDescent="0.3">
      <c r="A575" s="1" t="str">
        <f>HYPERLINK("./glaucoma/W884037741.png", "W884037741")</f>
        <v>W884037741</v>
      </c>
    </row>
    <row r="576" spans="1:1" x14ac:dyDescent="0.3">
      <c r="A576" s="1" t="str">
        <f>HYPERLINK("./glaucoma/W901801590.jpg", "W901801590")</f>
        <v>W901801590</v>
      </c>
    </row>
    <row r="577" spans="1:1" x14ac:dyDescent="0.3">
      <c r="A577" s="1" t="str">
        <f>HYPERLINK("./glaucoma/W984050578.jpg", "W984050578")</f>
        <v>W984050578</v>
      </c>
    </row>
    <row r="578" spans="1:1" x14ac:dyDescent="0.3">
      <c r="A578" s="1" t="str">
        <f>HYPERLINK("./glaucoma/X106387330.jpg", "X106387330")</f>
        <v>X106387330</v>
      </c>
    </row>
    <row r="579" spans="1:1" x14ac:dyDescent="0.3">
      <c r="A579" s="1" t="str">
        <f>HYPERLINK("./glaucoma/X144335386.jpg", "X144335386")</f>
        <v>X144335386</v>
      </c>
    </row>
    <row r="580" spans="1:1" x14ac:dyDescent="0.3">
      <c r="A580" s="1" t="str">
        <f>HYPERLINK("./glaucoma/X173334420.jpg", "X173334420")</f>
        <v>X173334420</v>
      </c>
    </row>
    <row r="581" spans="1:1" x14ac:dyDescent="0.3">
      <c r="A581" s="1" t="str">
        <f>HYPERLINK("./glaucoma/X241012668.jpg", "X241012668")</f>
        <v>X241012668</v>
      </c>
    </row>
    <row r="582" spans="1:1" x14ac:dyDescent="0.3">
      <c r="A582" s="1" t="str">
        <f>HYPERLINK("./glaucoma/X257910828.jpg", "X257910828")</f>
        <v>X257910828</v>
      </c>
    </row>
    <row r="583" spans="1:1" x14ac:dyDescent="0.3">
      <c r="A583" s="1" t="str">
        <f>HYPERLINK("./glaucoma/X266267848.jpg", "X266267848")</f>
        <v>X266267848</v>
      </c>
    </row>
    <row r="584" spans="1:1" x14ac:dyDescent="0.3">
      <c r="A584" s="1" t="str">
        <f>HYPERLINK("./glaucoma/X282374526.png", "X282374526")</f>
        <v>X282374526</v>
      </c>
    </row>
    <row r="585" spans="1:1" x14ac:dyDescent="0.3">
      <c r="A585" s="1" t="str">
        <f>HYPERLINK("./glaucoma/X309261037.jpg", "X309261037")</f>
        <v>X309261037</v>
      </c>
    </row>
    <row r="586" spans="1:1" x14ac:dyDescent="0.3">
      <c r="A586" s="1" t="str">
        <f>HYPERLINK("./glaucoma/X313975943.jpg", "X313975943")</f>
        <v>X313975943</v>
      </c>
    </row>
    <row r="587" spans="1:1" x14ac:dyDescent="0.3">
      <c r="A587" s="1" t="str">
        <f>HYPERLINK("./glaucoma/X327560178.jpg", "X327560178")</f>
        <v>X327560178</v>
      </c>
    </row>
    <row r="588" spans="1:1" x14ac:dyDescent="0.3">
      <c r="A588" s="1" t="str">
        <f>HYPERLINK("./glaucoma/X383078971.png", "X383078971")</f>
        <v>X383078971</v>
      </c>
    </row>
    <row r="589" spans="1:1" x14ac:dyDescent="0.3">
      <c r="A589" s="1" t="str">
        <f>HYPERLINK("./glaucoma/X424764570.jpg", "X424764570")</f>
        <v>X424764570</v>
      </c>
    </row>
    <row r="590" spans="1:1" x14ac:dyDescent="0.3">
      <c r="A590" s="1" t="str">
        <f>HYPERLINK("./glaucoma/X495304899.jpg", "X495304899")</f>
        <v>X495304899</v>
      </c>
    </row>
    <row r="591" spans="1:1" x14ac:dyDescent="0.3">
      <c r="A591" s="1" t="str">
        <f>HYPERLINK("./glaucoma/X496308664.jpg", "X496308664")</f>
        <v>X496308664</v>
      </c>
    </row>
    <row r="592" spans="1:1" x14ac:dyDescent="0.3">
      <c r="A592" s="1" t="str">
        <f>HYPERLINK("./glaucoma/X497987459.png", "X497987459")</f>
        <v>X497987459</v>
      </c>
    </row>
    <row r="593" spans="1:1" x14ac:dyDescent="0.3">
      <c r="A593" s="1" t="str">
        <f>HYPERLINK("./glaucoma/X538467938.jpg", "X538467938")</f>
        <v>X538467938</v>
      </c>
    </row>
    <row r="594" spans="1:1" x14ac:dyDescent="0.3">
      <c r="A594" s="1" t="str">
        <f>HYPERLINK("./glaucoma/X542718975.png", "X542718975")</f>
        <v>X542718975</v>
      </c>
    </row>
    <row r="595" spans="1:1" x14ac:dyDescent="0.3">
      <c r="A595" s="1" t="str">
        <f>HYPERLINK("./glaucoma/X666535561.jpg", "X666535561")</f>
        <v>X666535561</v>
      </c>
    </row>
    <row r="596" spans="1:1" x14ac:dyDescent="0.3">
      <c r="A596" s="1" t="str">
        <f>HYPERLINK("./glaucoma/X674736618.jpg", "X674736618")</f>
        <v>X674736618</v>
      </c>
    </row>
    <row r="597" spans="1:1" x14ac:dyDescent="0.3">
      <c r="A597" s="1" t="str">
        <f>HYPERLINK("./glaucoma/X676524947.jpg", "X676524947")</f>
        <v>X676524947</v>
      </c>
    </row>
    <row r="598" spans="1:1" x14ac:dyDescent="0.3">
      <c r="A598" s="1" t="str">
        <f>HYPERLINK("./glaucoma/X678039893.jpg", "X678039893")</f>
        <v>X678039893</v>
      </c>
    </row>
    <row r="599" spans="1:1" x14ac:dyDescent="0.3">
      <c r="A599" s="1" t="str">
        <f>HYPERLINK("./glaucoma/X757302531.png", "X757302531")</f>
        <v>X757302531</v>
      </c>
    </row>
    <row r="600" spans="1:1" x14ac:dyDescent="0.3">
      <c r="A600" s="1" t="str">
        <f>HYPERLINK("./glaucoma/X826526679.jpg", "X826526679")</f>
        <v>X826526679</v>
      </c>
    </row>
    <row r="601" spans="1:1" x14ac:dyDescent="0.3">
      <c r="A601" s="1" t="str">
        <f>HYPERLINK("./glaucoma/X838807022.png", "X838807022")</f>
        <v>X838807022</v>
      </c>
    </row>
    <row r="602" spans="1:1" x14ac:dyDescent="0.3">
      <c r="A602" s="1" t="str">
        <f>HYPERLINK("./glaucoma/X877428268.jpg", "X877428268")</f>
        <v>X877428268</v>
      </c>
    </row>
    <row r="603" spans="1:1" x14ac:dyDescent="0.3">
      <c r="A603" s="1" t="str">
        <f>HYPERLINK("./glaucoma/X886167966.jpg", "X886167966")</f>
        <v>X886167966</v>
      </c>
    </row>
    <row r="604" spans="1:1" x14ac:dyDescent="0.3">
      <c r="A604" s="1" t="str">
        <f>HYPERLINK("./glaucoma/X898617593.jpg", "X898617593")</f>
        <v>X898617593</v>
      </c>
    </row>
    <row r="605" spans="1:1" x14ac:dyDescent="0.3">
      <c r="A605" s="1" t="str">
        <f>HYPERLINK("./glaucoma/X900995410.jpg", "X900995410")</f>
        <v>X900995410</v>
      </c>
    </row>
    <row r="606" spans="1:1" x14ac:dyDescent="0.3">
      <c r="A606" s="1" t="str">
        <f>HYPERLINK("./glaucoma/X941007905.png", "X941007905")</f>
        <v>X941007905</v>
      </c>
    </row>
    <row r="608" spans="1:1" x14ac:dyDescent="0.3">
      <c r="A608" s="1" t="str">
        <f>HYPERLINK("./glaucoma/Y095921731.png", "Y095921731")</f>
        <v>Y095921731</v>
      </c>
    </row>
    <row r="609" spans="1:1" x14ac:dyDescent="0.3">
      <c r="A609" s="1" t="str">
        <f>HYPERLINK("./glaucoma/Y097323024.jpg", "Y097323024")</f>
        <v>Y097323024</v>
      </c>
    </row>
    <row r="610" spans="1:1" x14ac:dyDescent="0.3">
      <c r="A610" s="1" t="str">
        <f>HYPERLINK("./glaucoma/Y099729396.jpg", "Y099729396")</f>
        <v>Y099729396</v>
      </c>
    </row>
    <row r="611" spans="1:1" x14ac:dyDescent="0.3">
      <c r="A611" s="1" t="str">
        <f>HYPERLINK("./glaucoma/Y109187103.jpg", "Y109187103")</f>
        <v>Y109187103</v>
      </c>
    </row>
    <row r="612" spans="1:1" x14ac:dyDescent="0.3">
      <c r="A612" s="1" t="str">
        <f>HYPERLINK("./glaucoma/Y123761490.jpg", "Y123761490")</f>
        <v>Y123761490</v>
      </c>
    </row>
    <row r="613" spans="1:1" x14ac:dyDescent="0.3">
      <c r="A613" s="1" t="str">
        <f>HYPERLINK("./glaucoma/Y191895145.jpg", "Y191895145")</f>
        <v>Y191895145</v>
      </c>
    </row>
    <row r="614" spans="1:1" x14ac:dyDescent="0.3">
      <c r="A614" s="1" t="str">
        <f>HYPERLINK("./glaucoma/Y383407349.jpg", "Y383407349")</f>
        <v>Y383407349</v>
      </c>
    </row>
    <row r="615" spans="1:1" x14ac:dyDescent="0.3">
      <c r="A615" s="1" t="str">
        <f>HYPERLINK("./glaucoma/Y424450724.png", "Y424450724")</f>
        <v>Y424450724</v>
      </c>
    </row>
    <row r="616" spans="1:1" x14ac:dyDescent="0.3">
      <c r="A616" s="1" t="str">
        <f>HYPERLINK("./glaucoma/Y503774148.jpg", "Y503774148")</f>
        <v>Y503774148</v>
      </c>
    </row>
    <row r="617" spans="1:1" x14ac:dyDescent="0.3">
      <c r="A617" s="1" t="str">
        <f>HYPERLINK("./glaucoma/Y565654262.jpg", "Y565654262")</f>
        <v>Y565654262</v>
      </c>
    </row>
    <row r="618" spans="1:1" x14ac:dyDescent="0.3">
      <c r="A618" s="1" t="str">
        <f>HYPERLINK("./glaucoma/Y567780154.jpg", "Y567780154")</f>
        <v>Y567780154</v>
      </c>
    </row>
    <row r="619" spans="1:1" x14ac:dyDescent="0.3">
      <c r="A619" s="1" t="str">
        <f>HYPERLINK("./glaucoma/Y630743409.png", "Y630743409")</f>
        <v>Y630743409</v>
      </c>
    </row>
    <row r="620" spans="1:1" x14ac:dyDescent="0.3">
      <c r="A620" s="1" t="str">
        <f>HYPERLINK("./glaucoma/Y732571209.png", "Y732571209")</f>
        <v>Y732571209</v>
      </c>
    </row>
    <row r="621" spans="1:1" x14ac:dyDescent="0.3">
      <c r="A621" s="1" t="str">
        <f>HYPERLINK("./glaucoma/Y734817851.jpg", "Y734817851")</f>
        <v>Y734817851</v>
      </c>
    </row>
    <row r="622" spans="1:1" x14ac:dyDescent="0.3">
      <c r="A622" s="1" t="str">
        <f>HYPERLINK("./glaucoma/Y792920464.jpg", "Y792920464")</f>
        <v>Y792920464</v>
      </c>
    </row>
    <row r="623" spans="1:1" x14ac:dyDescent="0.3">
      <c r="A623" s="1" t="str">
        <f>HYPERLINK("./glaucoma/Y804877366.jpg", "Y804877366")</f>
        <v>Y804877366</v>
      </c>
    </row>
    <row r="624" spans="1:1" x14ac:dyDescent="0.3">
      <c r="A624" s="1" t="str">
        <f>HYPERLINK("./glaucoma/Z056301865.jpg", "Z056301865")</f>
        <v>Z056301865</v>
      </c>
    </row>
    <row r="625" spans="1:1" x14ac:dyDescent="0.3">
      <c r="A625" s="1" t="str">
        <f>HYPERLINK("./glaucoma/Z087315627.jpg", "Z087315627")</f>
        <v>Z087315627</v>
      </c>
    </row>
    <row r="626" spans="1:1" x14ac:dyDescent="0.3">
      <c r="A626" s="1" t="str">
        <f>HYPERLINK("./glaucoma/Z139719279.jpg", "Z139719279")</f>
        <v>Z139719279</v>
      </c>
    </row>
    <row r="627" spans="1:1" x14ac:dyDescent="0.3">
      <c r="A627" s="1" t="str">
        <f>HYPERLINK("./glaucoma/Z286105877.png", "Z286105877")</f>
        <v>Z286105877</v>
      </c>
    </row>
    <row r="628" spans="1:1" x14ac:dyDescent="0.3">
      <c r="A628" s="1" t="str">
        <f>HYPERLINK("./glaucoma/Z296260436.png", "Z296260436")</f>
        <v>Z296260436</v>
      </c>
    </row>
    <row r="629" spans="1:1" x14ac:dyDescent="0.3">
      <c r="A629" s="1" t="str">
        <f>HYPERLINK("./glaucoma/Z465835423.png", "Z465835423")</f>
        <v>Z465835423</v>
      </c>
    </row>
    <row r="630" spans="1:1" x14ac:dyDescent="0.3">
      <c r="A630" s="1" t="str">
        <f>HYPERLINK("./glaucoma/Z499659799.jpg", "Z499659799")</f>
        <v>Z499659799</v>
      </c>
    </row>
    <row r="631" spans="1:1" x14ac:dyDescent="0.3">
      <c r="A631" s="1" t="str">
        <f>HYPERLINK("./glaucoma/Z500792445.jpg", "Z500792445")</f>
        <v>Z500792445</v>
      </c>
    </row>
    <row r="632" spans="1:1" x14ac:dyDescent="0.3">
      <c r="A632" s="1" t="str">
        <f>HYPERLINK("./glaucoma/Z548102735.png", "Z548102735")</f>
        <v>Z548102735</v>
      </c>
    </row>
    <row r="633" spans="1:1" x14ac:dyDescent="0.3">
      <c r="A633" s="1" t="str">
        <f>HYPERLINK("./glaucoma/Z556283131.jpg", "Z556283131")</f>
        <v>Z556283131</v>
      </c>
    </row>
    <row r="634" spans="1:1" x14ac:dyDescent="0.3">
      <c r="A634" s="1" t="str">
        <f>HYPERLINK("./glaucoma/Z563213126.jpg", "Z563213126")</f>
        <v>Z563213126</v>
      </c>
    </row>
    <row r="635" spans="1:1" x14ac:dyDescent="0.3">
      <c r="A635" s="1" t="str">
        <f>HYPERLINK("./glaucoma/Z675487954.jpg", "Z675487954")</f>
        <v>Z675487954</v>
      </c>
    </row>
    <row r="636" spans="1:1" x14ac:dyDescent="0.3">
      <c r="A636" s="1" t="str">
        <f>HYPERLINK("./glaucoma/Z753898486.png", "Z753898486")</f>
        <v>Z753898486</v>
      </c>
    </row>
    <row r="637" spans="1:1" x14ac:dyDescent="0.3">
      <c r="A637" s="1" t="str">
        <f>HYPERLINK("./glaucoma/Z789801196.png", "Z789801196")</f>
        <v>Z789801196</v>
      </c>
    </row>
    <row r="638" spans="1:1" x14ac:dyDescent="0.3">
      <c r="A638" s="1" t="str">
        <f>HYPERLINK("./glaucoma/Z948845506.jpg", "Z948845506")</f>
        <v>Z948845506</v>
      </c>
    </row>
    <row r="639" spans="1:1" x14ac:dyDescent="0.3">
      <c r="A639" s="1" t="str">
        <f>HYPERLINK("./glaucoma/Z963836807.png", "Z963836807")</f>
        <v>Z963836807</v>
      </c>
    </row>
  </sheetData>
  <phoneticPr fontId="1" type="noConversion"/>
  <dataValidations count="2">
    <dataValidation type="list" allowBlank="1" showInputMessage="1" showErrorMessage="1" sqref="B1:B1048576">
      <formula1>"男,女"</formula1>
    </dataValidation>
    <dataValidation type="list" allowBlank="1" showInputMessage="1" showErrorMessage="1" sqref="E1:G1048576">
      <formula1>"✔"</formula1>
    </dataValidation>
  </dataValidations>
  <hyperlinks>
    <hyperlink ref="A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2025-03-04T18:01:35Z</dcterms:created>
  <dcterms:modified xsi:type="dcterms:W3CDTF">2025-03-14T02:18:58Z</dcterms:modified>
</cp:coreProperties>
</file>