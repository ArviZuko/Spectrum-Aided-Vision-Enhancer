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新增資料夾\給醫生\"/>
    </mc:Choice>
  </mc:AlternateContent>
  <bookViews>
    <workbookView xWindow="0" yWindow="0" windowWidth="28800" windowHeight="12285"/>
  </bookViews>
  <sheets>
    <sheet name="normal" sheetId="1" r:id="rId1"/>
  </sheets>
  <calcPr calcId="162913"/>
</workbook>
</file>

<file path=xl/calcChain.xml><?xml version="1.0" encoding="utf-8"?>
<calcChain xmlns="http://schemas.openxmlformats.org/spreadsheetml/2006/main">
  <c r="A3" i="1" l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</calcChain>
</file>

<file path=xl/sharedStrings.xml><?xml version="1.0" encoding="utf-8"?>
<sst xmlns="http://schemas.openxmlformats.org/spreadsheetml/2006/main" count="10" uniqueCount="10">
  <si>
    <t>A014229580</t>
    <phoneticPr fontId="19" type="noConversion"/>
  </si>
  <si>
    <t>Patient ID</t>
    <phoneticPr fontId="21" type="noConversion"/>
  </si>
  <si>
    <t>性別</t>
    <phoneticPr fontId="21" type="noConversion"/>
  </si>
  <si>
    <t>年齡</t>
    <phoneticPr fontId="21" type="noConversion"/>
  </si>
  <si>
    <t>職業</t>
    <phoneticPr fontId="21" type="noConversion"/>
  </si>
  <si>
    <t>菸</t>
    <phoneticPr fontId="21" type="noConversion"/>
  </si>
  <si>
    <t>酒</t>
    <phoneticPr fontId="21" type="noConversion"/>
  </si>
  <si>
    <t>檳榔</t>
    <phoneticPr fontId="21" type="noConversion"/>
  </si>
  <si>
    <t>長期服用藥物</t>
    <phoneticPr fontId="21" type="noConversion"/>
  </si>
  <si>
    <r>
      <t>相關疾病</t>
    </r>
    <r>
      <rPr>
        <b/>
        <sz val="9"/>
        <color theme="1"/>
        <rFont val="標楷體"/>
        <family val="4"/>
        <charset val="136"/>
      </rPr>
      <t>(如食道癌)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</si>
</sst>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6"/>
      <color theme="1"/>
      <name val="微軟正黑體"/>
      <family val="2"/>
      <charset val="136"/>
    </font>
    <font>
      <b/>
      <sz val="9"/>
      <color theme="1"/>
      <name val="標楷體"/>
      <family val="4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3" fillId="33" borderId="10" xfId="0" applyFont="1" applyFill="1" applyBorder="1" applyAlignment="1">
      <alignment horizontal="center"/>
    </xf>
    <xf numFmtId="0" fontId="23" fillId="33" borderId="11" xfId="0" applyFont="1" applyFill="1" applyBorder="1" applyAlignment="1">
      <alignment horizontal="center"/>
    </xf>
    <xf numFmtId="0" fontId="24" fillId="0" borderId="0" xfId="0" applyFont="1" applyAlignment="1"/>
    <xf numFmtId="0" fontId="22" fillId="0" borderId="0" xfId="42" applyFont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ormal\A01422958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4"/>
  <sheetViews>
    <sheetView tabSelected="1" workbookViewId="0">
      <selection activeCell="J7" sqref="J7"/>
    </sheetView>
  </sheetViews>
  <sheetFormatPr defaultRowHeight="19.5" x14ac:dyDescent="0.25"/>
  <cols>
    <col min="1" max="1" width="16" style="2" customWidth="1"/>
    <col min="2" max="7" width="9" style="1"/>
    <col min="8" max="8" width="18.25" style="1" customWidth="1"/>
    <col min="9" max="9" width="24.625" customWidth="1"/>
  </cols>
  <sheetData>
    <row r="1" spans="1:9" s="5" customFormat="1" ht="21.75" x14ac:dyDescent="0.35">
      <c r="A1" s="3" t="s">
        <v>1</v>
      </c>
      <c r="B1" s="3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25">
      <c r="A2" s="6" t="s">
        <v>0</v>
      </c>
    </row>
    <row r="3" spans="1:9" x14ac:dyDescent="0.25">
      <c r="A3" s="6" t="str">
        <f>HYPERLINK("normal/A095118521.jpg", "A095118521")</f>
        <v>A095118521</v>
      </c>
    </row>
    <row r="4" spans="1:9" x14ac:dyDescent="0.25">
      <c r="A4" s="2" t="str">
        <f>HYPERLINK("normal/A155199927.png", "A155199927")</f>
        <v>A155199927</v>
      </c>
    </row>
    <row r="5" spans="1:9" x14ac:dyDescent="0.25">
      <c r="A5" s="2" t="str">
        <f>HYPERLINK("normal/A180596185.jpg", "A180596185")</f>
        <v>A180596185</v>
      </c>
    </row>
    <row r="6" spans="1:9" x14ac:dyDescent="0.25">
      <c r="A6" s="2" t="str">
        <f>HYPERLINK("normal/A220759069.png", "A220759069")</f>
        <v>A220759069</v>
      </c>
    </row>
    <row r="7" spans="1:9" x14ac:dyDescent="0.25">
      <c r="A7" s="2" t="str">
        <f>HYPERLINK("normal/A224919769.png", "A224919769")</f>
        <v>A224919769</v>
      </c>
    </row>
    <row r="8" spans="1:9" x14ac:dyDescent="0.25">
      <c r="A8" s="2" t="str">
        <f>HYPERLINK("normal/A344161573.jpg", "A344161573")</f>
        <v>A344161573</v>
      </c>
    </row>
    <row r="9" spans="1:9" x14ac:dyDescent="0.25">
      <c r="A9" s="2" t="str">
        <f>HYPERLINK("normal/A361437696.png", "A361437696")</f>
        <v>A361437696</v>
      </c>
    </row>
    <row r="10" spans="1:9" x14ac:dyDescent="0.25">
      <c r="A10" s="2" t="str">
        <f>HYPERLINK("normal/A410537521.png", "A410537521")</f>
        <v>A410537521</v>
      </c>
    </row>
    <row r="11" spans="1:9" x14ac:dyDescent="0.25">
      <c r="A11" s="2" t="str">
        <f>HYPERLINK("normal/A457867993.png", "A457867993")</f>
        <v>A457867993</v>
      </c>
    </row>
    <row r="12" spans="1:9" x14ac:dyDescent="0.25">
      <c r="A12" s="2" t="str">
        <f>HYPERLINK("normal/A503401235.jpg", "A503401235")</f>
        <v>A503401235</v>
      </c>
    </row>
    <row r="13" spans="1:9" x14ac:dyDescent="0.25">
      <c r="A13" s="2" t="str">
        <f>HYPERLINK("normal/A546078768.png", "A546078768")</f>
        <v>A546078768</v>
      </c>
    </row>
    <row r="14" spans="1:9" x14ac:dyDescent="0.25">
      <c r="A14" s="2" t="str">
        <f>HYPERLINK("normal/A555562070.jpg", "A555562070")</f>
        <v>A555562070</v>
      </c>
    </row>
    <row r="15" spans="1:9" x14ac:dyDescent="0.25">
      <c r="A15" s="2" t="str">
        <f>HYPERLINK("normal/A558113638.jpg", "A558113638")</f>
        <v>A558113638</v>
      </c>
    </row>
    <row r="16" spans="1:9" x14ac:dyDescent="0.25">
      <c r="A16" s="2" t="str">
        <f>HYPERLINK("normal/A570841645.png", "A570841645")</f>
        <v>A570841645</v>
      </c>
    </row>
    <row r="17" spans="1:1" x14ac:dyDescent="0.25">
      <c r="A17" s="2" t="str">
        <f>HYPERLINK("normal/A583199399.jpg", "A583199399")</f>
        <v>A583199399</v>
      </c>
    </row>
    <row r="18" spans="1:1" x14ac:dyDescent="0.25">
      <c r="A18" s="2" t="str">
        <f>HYPERLINK("normal/A621909997.jpg", "A621909997")</f>
        <v>A621909997</v>
      </c>
    </row>
    <row r="19" spans="1:1" x14ac:dyDescent="0.25">
      <c r="A19" s="2" t="str">
        <f>HYPERLINK("normal/A626606809.png", "A626606809")</f>
        <v>A626606809</v>
      </c>
    </row>
    <row r="20" spans="1:1" x14ac:dyDescent="0.25">
      <c r="A20" s="2" t="str">
        <f>HYPERLINK("normal/A664701726.png", "A664701726")</f>
        <v>A664701726</v>
      </c>
    </row>
    <row r="21" spans="1:1" x14ac:dyDescent="0.25">
      <c r="A21" s="2" t="str">
        <f>HYPERLINK("normal/A755311164.png", "A755311164")</f>
        <v>A755311164</v>
      </c>
    </row>
    <row r="22" spans="1:1" x14ac:dyDescent="0.25">
      <c r="A22" s="2" t="str">
        <f>HYPERLINK("normal/A781464275.jpg", "A781464275")</f>
        <v>A781464275</v>
      </c>
    </row>
    <row r="23" spans="1:1" x14ac:dyDescent="0.25">
      <c r="A23" s="2" t="str">
        <f>HYPERLINK("normal/A842890489.png", "A842890489")</f>
        <v>A842890489</v>
      </c>
    </row>
    <row r="24" spans="1:1" x14ac:dyDescent="0.25">
      <c r="A24" s="2" t="str">
        <f>HYPERLINK("normal/A850868938.jpg", "A850868938")</f>
        <v>A850868938</v>
      </c>
    </row>
    <row r="25" spans="1:1" x14ac:dyDescent="0.25">
      <c r="A25" s="2" t="str">
        <f>HYPERLINK("normal/A863961402.jpg", "A863961402")</f>
        <v>A863961402</v>
      </c>
    </row>
    <row r="26" spans="1:1" x14ac:dyDescent="0.25">
      <c r="A26" s="2" t="str">
        <f>HYPERLINK("normal/A923803732.jpg", "A923803732")</f>
        <v>A923803732</v>
      </c>
    </row>
    <row r="27" spans="1:1" x14ac:dyDescent="0.25">
      <c r="A27" s="2" t="str">
        <f>HYPERLINK("normal/A944082959.png", "A944082959")</f>
        <v>A944082959</v>
      </c>
    </row>
    <row r="28" spans="1:1" x14ac:dyDescent="0.25">
      <c r="A28" s="2" t="str">
        <f>HYPERLINK("normal/A946820121.jpg", "A946820121")</f>
        <v>A946820121</v>
      </c>
    </row>
    <row r="29" spans="1:1" x14ac:dyDescent="0.25">
      <c r="A29" s="2" t="str">
        <f>HYPERLINK("normal/A994980043.png", "A994980043")</f>
        <v>A994980043</v>
      </c>
    </row>
    <row r="30" spans="1:1" x14ac:dyDescent="0.25">
      <c r="A30" s="2" t="str">
        <f>HYPERLINK("normal/B008419904.png", "B008419904")</f>
        <v>B008419904</v>
      </c>
    </row>
    <row r="31" spans="1:1" x14ac:dyDescent="0.25">
      <c r="A31" s="2" t="str">
        <f>HYPERLINK("normal/B062933970.jpg", "B062933970")</f>
        <v>B062933970</v>
      </c>
    </row>
    <row r="32" spans="1:1" x14ac:dyDescent="0.25">
      <c r="A32" s="2" t="str">
        <f>HYPERLINK("normal/B129217887.png", "B129217887")</f>
        <v>B129217887</v>
      </c>
    </row>
    <row r="33" spans="1:1" x14ac:dyDescent="0.25">
      <c r="A33" s="2" t="str">
        <f>HYPERLINK("normal/B179692356.jpg", "B179692356")</f>
        <v>B179692356</v>
      </c>
    </row>
    <row r="34" spans="1:1" x14ac:dyDescent="0.25">
      <c r="A34" s="2" t="str">
        <f>HYPERLINK("normal/B342665570.png", "B342665570")</f>
        <v>B342665570</v>
      </c>
    </row>
    <row r="35" spans="1:1" x14ac:dyDescent="0.25">
      <c r="A35" s="2" t="str">
        <f>HYPERLINK("normal/B397092602.png", "B397092602")</f>
        <v>B397092602</v>
      </c>
    </row>
    <row r="36" spans="1:1" x14ac:dyDescent="0.25">
      <c r="A36" s="2" t="str">
        <f>HYPERLINK("normal/B480768089.png", "B480768089")</f>
        <v>B480768089</v>
      </c>
    </row>
    <row r="37" spans="1:1" x14ac:dyDescent="0.25">
      <c r="A37" s="2" t="str">
        <f>HYPERLINK("normal/B485486417.png", "B485486417")</f>
        <v>B485486417</v>
      </c>
    </row>
    <row r="38" spans="1:1" x14ac:dyDescent="0.25">
      <c r="A38" s="2" t="str">
        <f>HYPERLINK("normal/B566486137.jpg", "B566486137")</f>
        <v>B566486137</v>
      </c>
    </row>
    <row r="39" spans="1:1" x14ac:dyDescent="0.25">
      <c r="A39" s="2" t="str">
        <f>HYPERLINK("normal/B570838967.png", "B570838967")</f>
        <v>B570838967</v>
      </c>
    </row>
    <row r="40" spans="1:1" x14ac:dyDescent="0.25">
      <c r="A40" s="2" t="str">
        <f>HYPERLINK("normal/B580102139.png", "B580102139")</f>
        <v>B580102139</v>
      </c>
    </row>
    <row r="41" spans="1:1" x14ac:dyDescent="0.25">
      <c r="A41" s="2" t="str">
        <f>HYPERLINK("normal/B585398095.jpg", "B585398095")</f>
        <v>B585398095</v>
      </c>
    </row>
    <row r="42" spans="1:1" x14ac:dyDescent="0.25">
      <c r="A42" s="2" t="str">
        <f>HYPERLINK("normal/B617345815.jpg", "B617345815")</f>
        <v>B617345815</v>
      </c>
    </row>
    <row r="43" spans="1:1" x14ac:dyDescent="0.25">
      <c r="A43" s="2" t="str">
        <f>HYPERLINK("normal/B636665263.jpg", "B636665263")</f>
        <v>B636665263</v>
      </c>
    </row>
    <row r="44" spans="1:1" x14ac:dyDescent="0.25">
      <c r="A44" s="2" t="str">
        <f>HYPERLINK("normal/B679901915.jpg", "B679901915")</f>
        <v>B679901915</v>
      </c>
    </row>
    <row r="45" spans="1:1" x14ac:dyDescent="0.25">
      <c r="A45" s="2" t="str">
        <f>HYPERLINK("normal/B698100137.jpg", "B698100137")</f>
        <v>B698100137</v>
      </c>
    </row>
    <row r="46" spans="1:1" x14ac:dyDescent="0.25">
      <c r="A46" s="2" t="str">
        <f>HYPERLINK("normal/B716051969.jpg", "B716051969")</f>
        <v>B716051969</v>
      </c>
    </row>
    <row r="47" spans="1:1" x14ac:dyDescent="0.25">
      <c r="A47" s="2" t="str">
        <f>HYPERLINK("normal/B727644493.jpg", "B727644493")</f>
        <v>B727644493</v>
      </c>
    </row>
    <row r="48" spans="1:1" x14ac:dyDescent="0.25">
      <c r="A48" s="2" t="str">
        <f>HYPERLINK("normal/B766934616.png", "B766934616")</f>
        <v>B766934616</v>
      </c>
    </row>
    <row r="49" spans="1:1" x14ac:dyDescent="0.25">
      <c r="A49" s="2" t="str">
        <f>HYPERLINK("normal/B795145584.png", "B795145584")</f>
        <v>B795145584</v>
      </c>
    </row>
    <row r="50" spans="1:1" x14ac:dyDescent="0.25">
      <c r="A50" s="2" t="str">
        <f>HYPERLINK("normal/B804109894.jpg", "B804109894")</f>
        <v>B804109894</v>
      </c>
    </row>
    <row r="51" spans="1:1" x14ac:dyDescent="0.25">
      <c r="A51" s="2" t="str">
        <f>HYPERLINK("normal/B836081810.jpg", "B836081810")</f>
        <v>B836081810</v>
      </c>
    </row>
    <row r="52" spans="1:1" x14ac:dyDescent="0.25">
      <c r="A52" s="2" t="str">
        <f>HYPERLINK("normal/B838816841.jpg", "B838816841")</f>
        <v>B838816841</v>
      </c>
    </row>
    <row r="53" spans="1:1" x14ac:dyDescent="0.25">
      <c r="A53" s="2" t="str">
        <f>HYPERLINK("normal/B888431772.png", "B888431772")</f>
        <v>B888431772</v>
      </c>
    </row>
    <row r="54" spans="1:1" x14ac:dyDescent="0.25">
      <c r="A54" s="2" t="str">
        <f>HYPERLINK("normal/B912274097.jpg", "B912274097")</f>
        <v>B912274097</v>
      </c>
    </row>
    <row r="55" spans="1:1" x14ac:dyDescent="0.25">
      <c r="A55" s="2" t="str">
        <f>HYPERLINK("normal/C001134256.png", "C001134256")</f>
        <v>C001134256</v>
      </c>
    </row>
    <row r="56" spans="1:1" x14ac:dyDescent="0.25">
      <c r="A56" s="2" t="str">
        <f>HYPERLINK("normal/C069435474.png", "C069435474")</f>
        <v>C069435474</v>
      </c>
    </row>
    <row r="57" spans="1:1" x14ac:dyDescent="0.25">
      <c r="A57" s="2" t="str">
        <f>HYPERLINK("normal/C129404098.png", "C129404098")</f>
        <v>C129404098</v>
      </c>
    </row>
    <row r="58" spans="1:1" x14ac:dyDescent="0.25">
      <c r="A58" s="2" t="str">
        <f>HYPERLINK("normal/C164398812.jpg", "C164398812")</f>
        <v>C164398812</v>
      </c>
    </row>
    <row r="59" spans="1:1" x14ac:dyDescent="0.25">
      <c r="A59" s="2" t="str">
        <f>HYPERLINK("normal/C192914962.png", "C192914962")</f>
        <v>C192914962</v>
      </c>
    </row>
    <row r="60" spans="1:1" x14ac:dyDescent="0.25">
      <c r="A60" s="2" t="str">
        <f>HYPERLINK("normal/C206290398.png", "C206290398")</f>
        <v>C206290398</v>
      </c>
    </row>
    <row r="61" spans="1:1" x14ac:dyDescent="0.25">
      <c r="A61" s="2" t="str">
        <f>HYPERLINK("normal/C220778874.jpg", "C220778874")</f>
        <v>C220778874</v>
      </c>
    </row>
    <row r="62" spans="1:1" x14ac:dyDescent="0.25">
      <c r="A62" s="2" t="str">
        <f>HYPERLINK("normal/C242952485.png", "C242952485")</f>
        <v>C242952485</v>
      </c>
    </row>
    <row r="63" spans="1:1" x14ac:dyDescent="0.25">
      <c r="A63" s="2" t="str">
        <f>HYPERLINK("normal/C256397692.jpg", "C256397692")</f>
        <v>C256397692</v>
      </c>
    </row>
    <row r="64" spans="1:1" x14ac:dyDescent="0.25">
      <c r="A64" s="2" t="str">
        <f>HYPERLINK("normal/C262334618.png", "C262334618")</f>
        <v>C262334618</v>
      </c>
    </row>
    <row r="65" spans="1:1" x14ac:dyDescent="0.25">
      <c r="A65" s="2" t="str">
        <f>HYPERLINK("normal/C367202672.jpg", "C367202672")</f>
        <v>C367202672</v>
      </c>
    </row>
    <row r="66" spans="1:1" x14ac:dyDescent="0.25">
      <c r="A66" s="2" t="str">
        <f>HYPERLINK("normal/C471503299.jpg", "C471503299")</f>
        <v>C471503299</v>
      </c>
    </row>
    <row r="67" spans="1:1" x14ac:dyDescent="0.25">
      <c r="A67" s="2" t="str">
        <f>HYPERLINK("normal/C594895805.jpg", "C594895805")</f>
        <v>C594895805</v>
      </c>
    </row>
    <row r="68" spans="1:1" x14ac:dyDescent="0.25">
      <c r="A68" s="2" t="str">
        <f>HYPERLINK("normal/C616922289.jpg", "C616922289")</f>
        <v>C616922289</v>
      </c>
    </row>
    <row r="69" spans="1:1" x14ac:dyDescent="0.25">
      <c r="A69" s="2" t="str">
        <f>HYPERLINK("normal/C629142601.jpg", "C629142601")</f>
        <v>C629142601</v>
      </c>
    </row>
    <row r="70" spans="1:1" x14ac:dyDescent="0.25">
      <c r="A70" s="2" t="str">
        <f>HYPERLINK("normal/C684691316.jpg", "C684691316")</f>
        <v>C684691316</v>
      </c>
    </row>
    <row r="71" spans="1:1" x14ac:dyDescent="0.25">
      <c r="A71" s="2" t="str">
        <f>HYPERLINK("normal/C748779064.png", "C748779064")</f>
        <v>C748779064</v>
      </c>
    </row>
    <row r="72" spans="1:1" x14ac:dyDescent="0.25">
      <c r="A72" s="2" t="str">
        <f>HYPERLINK("normal/C764245311.png", "C764245311")</f>
        <v>C764245311</v>
      </c>
    </row>
    <row r="73" spans="1:1" x14ac:dyDescent="0.25">
      <c r="A73" s="2" t="str">
        <f>HYPERLINK("normal/C885803731.png", "C885803731")</f>
        <v>C885803731</v>
      </c>
    </row>
    <row r="74" spans="1:1" x14ac:dyDescent="0.25">
      <c r="A74" s="2" t="str">
        <f>HYPERLINK("normal/C913202778.png", "C913202778")</f>
        <v>C913202778</v>
      </c>
    </row>
    <row r="75" spans="1:1" x14ac:dyDescent="0.25">
      <c r="A75" s="2" t="str">
        <f>HYPERLINK("normal/C917779435.png", "C917779435")</f>
        <v>C917779435</v>
      </c>
    </row>
    <row r="76" spans="1:1" x14ac:dyDescent="0.25">
      <c r="A76" s="2" t="str">
        <f>HYPERLINK("normal/C927769846.png", "C927769846")</f>
        <v>C927769846</v>
      </c>
    </row>
    <row r="77" spans="1:1" x14ac:dyDescent="0.25">
      <c r="A77" s="2" t="str">
        <f>HYPERLINK("normal/C929935078.png", "C929935078")</f>
        <v>C929935078</v>
      </c>
    </row>
    <row r="78" spans="1:1" x14ac:dyDescent="0.25">
      <c r="A78" s="2" t="str">
        <f>HYPERLINK("normal/C983972587.png", "C983972587")</f>
        <v>C983972587</v>
      </c>
    </row>
    <row r="79" spans="1:1" x14ac:dyDescent="0.25">
      <c r="A79" s="2" t="str">
        <f>HYPERLINK("normal/D041308320.png", "D041308320")</f>
        <v>D041308320</v>
      </c>
    </row>
    <row r="80" spans="1:1" x14ac:dyDescent="0.25">
      <c r="A80" s="2" t="str">
        <f>HYPERLINK("normal/D074571603.jpg", "D074571603")</f>
        <v>D074571603</v>
      </c>
    </row>
    <row r="81" spans="1:1" x14ac:dyDescent="0.25">
      <c r="A81" s="2" t="str">
        <f>HYPERLINK("normal/D086064895.jpg", "D086064895")</f>
        <v>D086064895</v>
      </c>
    </row>
    <row r="82" spans="1:1" x14ac:dyDescent="0.25">
      <c r="A82" s="2" t="str">
        <f>HYPERLINK("normal/D090735854.png", "D090735854")</f>
        <v>D090735854</v>
      </c>
    </row>
    <row r="83" spans="1:1" x14ac:dyDescent="0.25">
      <c r="A83" s="2" t="str">
        <f>HYPERLINK("normal/D125267601.jpg", "D125267601")</f>
        <v>D125267601</v>
      </c>
    </row>
    <row r="84" spans="1:1" x14ac:dyDescent="0.25">
      <c r="A84" s="2" t="str">
        <f>HYPERLINK("normal/D143608215.jpg", "D143608215")</f>
        <v>D143608215</v>
      </c>
    </row>
    <row r="85" spans="1:1" x14ac:dyDescent="0.25">
      <c r="A85" s="2" t="str">
        <f>HYPERLINK("normal/D170409227.jpg", "D170409227")</f>
        <v>D170409227</v>
      </c>
    </row>
    <row r="86" spans="1:1" x14ac:dyDescent="0.25">
      <c r="A86" s="2" t="str">
        <f>HYPERLINK("normal/D188091834.png", "D188091834")</f>
        <v>D188091834</v>
      </c>
    </row>
    <row r="87" spans="1:1" x14ac:dyDescent="0.25">
      <c r="A87" s="2" t="str">
        <f>HYPERLINK("normal/D242303889.png", "D242303889")</f>
        <v>D242303889</v>
      </c>
    </row>
    <row r="88" spans="1:1" x14ac:dyDescent="0.25">
      <c r="A88" s="2" t="str">
        <f>HYPERLINK("normal/D269495798.png", "D269495798")</f>
        <v>D269495798</v>
      </c>
    </row>
    <row r="89" spans="1:1" x14ac:dyDescent="0.25">
      <c r="A89" s="2" t="str">
        <f>HYPERLINK("normal/D277064499.png", "D277064499")</f>
        <v>D277064499</v>
      </c>
    </row>
    <row r="90" spans="1:1" x14ac:dyDescent="0.25">
      <c r="A90" s="2" t="str">
        <f>HYPERLINK("normal/D287412278.png", "D287412278")</f>
        <v>D287412278</v>
      </c>
    </row>
    <row r="91" spans="1:1" x14ac:dyDescent="0.25">
      <c r="A91" s="2" t="str">
        <f>HYPERLINK("normal/D343423061.jpg", "D343423061")</f>
        <v>D343423061</v>
      </c>
    </row>
    <row r="92" spans="1:1" x14ac:dyDescent="0.25">
      <c r="A92" s="2" t="str">
        <f>HYPERLINK("normal/D344829092.png", "D344829092")</f>
        <v>D344829092</v>
      </c>
    </row>
    <row r="93" spans="1:1" x14ac:dyDescent="0.25">
      <c r="A93" s="2" t="str">
        <f>HYPERLINK("normal/D382535173.jpg", "D382535173")</f>
        <v>D382535173</v>
      </c>
    </row>
    <row r="94" spans="1:1" x14ac:dyDescent="0.25">
      <c r="A94" s="2" t="str">
        <f>HYPERLINK("normal/D408735520.jpg", "D408735520")</f>
        <v>D408735520</v>
      </c>
    </row>
    <row r="95" spans="1:1" x14ac:dyDescent="0.25">
      <c r="A95" s="2" t="str">
        <f>HYPERLINK("normal/D418914785.png", "D418914785")</f>
        <v>D418914785</v>
      </c>
    </row>
    <row r="96" spans="1:1" x14ac:dyDescent="0.25">
      <c r="A96" s="2" t="str">
        <f>HYPERLINK("normal/D441408939.jpg", "D441408939")</f>
        <v>D441408939</v>
      </c>
    </row>
    <row r="97" spans="1:1" x14ac:dyDescent="0.25">
      <c r="A97" s="2" t="str">
        <f>HYPERLINK("normal/D467189822.jpg", "D467189822")</f>
        <v>D467189822</v>
      </c>
    </row>
    <row r="98" spans="1:1" x14ac:dyDescent="0.25">
      <c r="A98" s="2" t="str">
        <f>HYPERLINK("normal/D559339771.jpg", "D559339771")</f>
        <v>D559339771</v>
      </c>
    </row>
    <row r="99" spans="1:1" x14ac:dyDescent="0.25">
      <c r="A99" s="2" t="str">
        <f>HYPERLINK("normal/D605562724.png", "D605562724")</f>
        <v>D605562724</v>
      </c>
    </row>
    <row r="100" spans="1:1" x14ac:dyDescent="0.25">
      <c r="A100" s="2" t="str">
        <f>HYPERLINK("normal/D636533510.jpg", "D636533510")</f>
        <v>D636533510</v>
      </c>
    </row>
    <row r="101" spans="1:1" x14ac:dyDescent="0.25">
      <c r="A101" s="2" t="str">
        <f>HYPERLINK("normal/D665534064.jpg", "D665534064")</f>
        <v>D665534064</v>
      </c>
    </row>
    <row r="102" spans="1:1" x14ac:dyDescent="0.25">
      <c r="A102" s="2" t="str">
        <f>HYPERLINK("normal/D702675236.jpg", "D702675236")</f>
        <v>D702675236</v>
      </c>
    </row>
    <row r="103" spans="1:1" x14ac:dyDescent="0.25">
      <c r="A103" s="2" t="str">
        <f>HYPERLINK("normal/D704004798.png", "D704004798")</f>
        <v>D704004798</v>
      </c>
    </row>
    <row r="104" spans="1:1" x14ac:dyDescent="0.25">
      <c r="A104" s="2" t="str">
        <f>HYPERLINK("normal/D794081520.jpg", "D794081520")</f>
        <v>D794081520</v>
      </c>
    </row>
    <row r="105" spans="1:1" x14ac:dyDescent="0.25">
      <c r="A105" s="2" t="str">
        <f>HYPERLINK("normal/D872897207.png", "D872897207")</f>
        <v>D872897207</v>
      </c>
    </row>
    <row r="106" spans="1:1" x14ac:dyDescent="0.25">
      <c r="A106" s="2" t="str">
        <f>HYPERLINK("normal/D883110246.png", "D883110246")</f>
        <v>D883110246</v>
      </c>
    </row>
    <row r="107" spans="1:1" x14ac:dyDescent="0.25">
      <c r="A107" s="2" t="str">
        <f>HYPERLINK("normal/D883157833.jpg", "D883157833")</f>
        <v>D883157833</v>
      </c>
    </row>
    <row r="108" spans="1:1" x14ac:dyDescent="0.25">
      <c r="A108" s="2" t="str">
        <f>HYPERLINK("normal/E013265852.png", "E013265852")</f>
        <v>E013265852</v>
      </c>
    </row>
    <row r="109" spans="1:1" x14ac:dyDescent="0.25">
      <c r="A109" s="2" t="str">
        <f>HYPERLINK("normal/E021123533.png", "E021123533")</f>
        <v>E021123533</v>
      </c>
    </row>
    <row r="110" spans="1:1" x14ac:dyDescent="0.25">
      <c r="A110" s="2" t="str">
        <f>HYPERLINK("normal/E031753839.jpg", "E031753839")</f>
        <v>E031753839</v>
      </c>
    </row>
    <row r="111" spans="1:1" x14ac:dyDescent="0.25">
      <c r="A111" s="2" t="str">
        <f>HYPERLINK("normal/E133914743.jpg", "E133914743")</f>
        <v>E133914743</v>
      </c>
    </row>
    <row r="112" spans="1:1" x14ac:dyDescent="0.25">
      <c r="A112" s="2" t="str">
        <f>HYPERLINK("normal/E195760818.jpg", "E195760818")</f>
        <v>E195760818</v>
      </c>
    </row>
    <row r="113" spans="1:1" x14ac:dyDescent="0.25">
      <c r="A113" s="2" t="str">
        <f>HYPERLINK("normal/E215648903.png", "E215648903")</f>
        <v>E215648903</v>
      </c>
    </row>
    <row r="114" spans="1:1" x14ac:dyDescent="0.25">
      <c r="A114" s="2" t="str">
        <f>HYPERLINK("normal/E239082032.png", "E239082032")</f>
        <v>E239082032</v>
      </c>
    </row>
    <row r="115" spans="1:1" x14ac:dyDescent="0.25">
      <c r="A115" s="2" t="str">
        <f>HYPERLINK("normal/E268115933.jpg", "E268115933")</f>
        <v>E268115933</v>
      </c>
    </row>
    <row r="116" spans="1:1" x14ac:dyDescent="0.25">
      <c r="A116" s="2" t="str">
        <f>HYPERLINK("normal/E284005799.jpg", "E284005799")</f>
        <v>E284005799</v>
      </c>
    </row>
    <row r="117" spans="1:1" x14ac:dyDescent="0.25">
      <c r="A117" s="2" t="str">
        <f>HYPERLINK("normal/E290236455.jpg", "E290236455")</f>
        <v>E290236455</v>
      </c>
    </row>
    <row r="118" spans="1:1" x14ac:dyDescent="0.25">
      <c r="A118" s="2" t="str">
        <f>HYPERLINK("normal/E295854259.png", "E295854259")</f>
        <v>E295854259</v>
      </c>
    </row>
    <row r="119" spans="1:1" x14ac:dyDescent="0.25">
      <c r="A119" s="2" t="str">
        <f>HYPERLINK("normal/E304402412.jpg", "E304402412")</f>
        <v>E304402412</v>
      </c>
    </row>
    <row r="120" spans="1:1" x14ac:dyDescent="0.25">
      <c r="A120" s="2" t="str">
        <f>HYPERLINK("normal/E363886180.jpg", "E363886180")</f>
        <v>E363886180</v>
      </c>
    </row>
    <row r="121" spans="1:1" x14ac:dyDescent="0.25">
      <c r="A121" s="2" t="str">
        <f>HYPERLINK("normal/E391575909.png", "E391575909")</f>
        <v>E391575909</v>
      </c>
    </row>
    <row r="122" spans="1:1" x14ac:dyDescent="0.25">
      <c r="A122" s="2" t="str">
        <f>HYPERLINK("normal/E392169705.png", "E392169705")</f>
        <v>E392169705</v>
      </c>
    </row>
    <row r="123" spans="1:1" x14ac:dyDescent="0.25">
      <c r="A123" s="2" t="str">
        <f>HYPERLINK("normal/E445573074.jpg", "E445573074")</f>
        <v>E445573074</v>
      </c>
    </row>
    <row r="124" spans="1:1" x14ac:dyDescent="0.25">
      <c r="A124" s="2" t="str">
        <f>HYPERLINK("normal/E464423646.png", "E464423646")</f>
        <v>E464423646</v>
      </c>
    </row>
    <row r="125" spans="1:1" x14ac:dyDescent="0.25">
      <c r="A125" s="2" t="str">
        <f>HYPERLINK("normal/E469419686.jpg", "E469419686")</f>
        <v>E469419686</v>
      </c>
    </row>
    <row r="126" spans="1:1" x14ac:dyDescent="0.25">
      <c r="A126" s="2" t="str">
        <f>HYPERLINK("normal/E494288770.png", "E494288770")</f>
        <v>E494288770</v>
      </c>
    </row>
    <row r="127" spans="1:1" x14ac:dyDescent="0.25">
      <c r="A127" s="2" t="str">
        <f>HYPERLINK("normal/E556445522.png", "E556445522")</f>
        <v>E556445522</v>
      </c>
    </row>
    <row r="128" spans="1:1" x14ac:dyDescent="0.25">
      <c r="A128" s="2" t="str">
        <f>HYPERLINK("normal/E588262314.png", "E588262314")</f>
        <v>E588262314</v>
      </c>
    </row>
    <row r="129" spans="1:1" x14ac:dyDescent="0.25">
      <c r="A129" s="2" t="str">
        <f>HYPERLINK("normal/E593388118.jpg", "E593388118")</f>
        <v>E593388118</v>
      </c>
    </row>
    <row r="130" spans="1:1" x14ac:dyDescent="0.25">
      <c r="A130" s="2" t="str">
        <f>HYPERLINK("normal/E594367446.jpg", "E594367446")</f>
        <v>E594367446</v>
      </c>
    </row>
    <row r="131" spans="1:1" x14ac:dyDescent="0.25">
      <c r="A131" s="2" t="str">
        <f>HYPERLINK("normal/E617094169.png", "E617094169")</f>
        <v>E617094169</v>
      </c>
    </row>
    <row r="132" spans="1:1" x14ac:dyDescent="0.25">
      <c r="A132" s="2" t="str">
        <f>HYPERLINK("normal/E617472834.jpg", "E617472834")</f>
        <v>E617472834</v>
      </c>
    </row>
    <row r="133" spans="1:1" x14ac:dyDescent="0.25">
      <c r="A133" s="2" t="str">
        <f>HYPERLINK("normal/E666364369.png", "E666364369")</f>
        <v>E666364369</v>
      </c>
    </row>
    <row r="134" spans="1:1" x14ac:dyDescent="0.25">
      <c r="A134" s="2" t="str">
        <f>HYPERLINK("normal/E679034235.png", "E679034235")</f>
        <v>E679034235</v>
      </c>
    </row>
    <row r="135" spans="1:1" x14ac:dyDescent="0.25">
      <c r="A135" s="2" t="str">
        <f>HYPERLINK("normal/E709340153.jpg", "E709340153")</f>
        <v>E709340153</v>
      </c>
    </row>
    <row r="136" spans="1:1" x14ac:dyDescent="0.25">
      <c r="A136" s="2" t="str">
        <f>HYPERLINK("normal/E776911556.png", "E776911556")</f>
        <v>E776911556</v>
      </c>
    </row>
    <row r="137" spans="1:1" x14ac:dyDescent="0.25">
      <c r="A137" s="2" t="str">
        <f>HYPERLINK("normal/E869206392.jpg", "E869206392")</f>
        <v>E869206392</v>
      </c>
    </row>
    <row r="138" spans="1:1" x14ac:dyDescent="0.25">
      <c r="A138" s="2" t="str">
        <f>HYPERLINK("normal/E907131928.jpg", "E907131928")</f>
        <v>E907131928</v>
      </c>
    </row>
    <row r="139" spans="1:1" x14ac:dyDescent="0.25">
      <c r="A139" s="2" t="str">
        <f>HYPERLINK("normal/E915488695.png", "E915488695")</f>
        <v>E915488695</v>
      </c>
    </row>
    <row r="140" spans="1:1" x14ac:dyDescent="0.25">
      <c r="A140" s="2" t="str">
        <f>HYPERLINK("normal/E929112013.jpg", "E929112013")</f>
        <v>E929112013</v>
      </c>
    </row>
    <row r="141" spans="1:1" x14ac:dyDescent="0.25">
      <c r="A141" s="2" t="str">
        <f>HYPERLINK("normal/E949916100.jpg", "E949916100")</f>
        <v>E949916100</v>
      </c>
    </row>
    <row r="142" spans="1:1" x14ac:dyDescent="0.25">
      <c r="A142" s="2" t="str">
        <f>HYPERLINK("normal/E950751535.png", "E950751535")</f>
        <v>E950751535</v>
      </c>
    </row>
    <row r="143" spans="1:1" x14ac:dyDescent="0.25">
      <c r="A143" s="2" t="str">
        <f>HYPERLINK("normal/E976127778.jpg", "E976127778")</f>
        <v>E976127778</v>
      </c>
    </row>
    <row r="144" spans="1:1" x14ac:dyDescent="0.25">
      <c r="A144" s="2" t="str">
        <f>HYPERLINK("normal/F036726374.jpg", "F036726374")</f>
        <v>F036726374</v>
      </c>
    </row>
    <row r="145" spans="1:1" x14ac:dyDescent="0.25">
      <c r="A145" s="2" t="str">
        <f>HYPERLINK("normal/F038179371.jpg", "F038179371")</f>
        <v>F038179371</v>
      </c>
    </row>
    <row r="146" spans="1:1" x14ac:dyDescent="0.25">
      <c r="A146" s="2" t="str">
        <f>HYPERLINK("normal/F112196081.png", "F112196081")</f>
        <v>F112196081</v>
      </c>
    </row>
    <row r="147" spans="1:1" x14ac:dyDescent="0.25">
      <c r="A147" s="2" t="str">
        <f>HYPERLINK("normal/F117157033.jpg", "F117157033")</f>
        <v>F117157033</v>
      </c>
    </row>
    <row r="148" spans="1:1" x14ac:dyDescent="0.25">
      <c r="A148" s="2" t="str">
        <f>HYPERLINK("normal/F148021376.png", "F148021376")</f>
        <v>F148021376</v>
      </c>
    </row>
    <row r="149" spans="1:1" x14ac:dyDescent="0.25">
      <c r="A149" s="2" t="str">
        <f>HYPERLINK("normal/F168260465.png", "F168260465")</f>
        <v>F168260465</v>
      </c>
    </row>
    <row r="150" spans="1:1" x14ac:dyDescent="0.25">
      <c r="A150" s="2" t="str">
        <f>HYPERLINK("normal/F174156740.png", "F174156740")</f>
        <v>F174156740</v>
      </c>
    </row>
    <row r="151" spans="1:1" x14ac:dyDescent="0.25">
      <c r="A151" s="2" t="str">
        <f>HYPERLINK("normal/F237129119.jpg", "F237129119")</f>
        <v>F237129119</v>
      </c>
    </row>
    <row r="152" spans="1:1" x14ac:dyDescent="0.25">
      <c r="A152" s="2" t="str">
        <f>HYPERLINK("normal/F280918394.png", "F280918394")</f>
        <v>F280918394</v>
      </c>
    </row>
    <row r="153" spans="1:1" x14ac:dyDescent="0.25">
      <c r="A153" s="2" t="str">
        <f>HYPERLINK("normal/F300820338.png", "F300820338")</f>
        <v>F300820338</v>
      </c>
    </row>
    <row r="154" spans="1:1" x14ac:dyDescent="0.25">
      <c r="A154" s="2" t="str">
        <f>HYPERLINK("normal/F305210867.jpg", "F305210867")</f>
        <v>F305210867</v>
      </c>
    </row>
    <row r="155" spans="1:1" x14ac:dyDescent="0.25">
      <c r="A155" s="2" t="str">
        <f>HYPERLINK("normal/F437014261.png", "F437014261")</f>
        <v>F437014261</v>
      </c>
    </row>
    <row r="156" spans="1:1" x14ac:dyDescent="0.25">
      <c r="A156" s="2" t="str">
        <f>HYPERLINK("normal/F463743090.jpg", "F463743090")</f>
        <v>F463743090</v>
      </c>
    </row>
    <row r="157" spans="1:1" x14ac:dyDescent="0.25">
      <c r="A157" s="2" t="str">
        <f>HYPERLINK("normal/F468102972.jpg", "F468102972")</f>
        <v>F468102972</v>
      </c>
    </row>
    <row r="158" spans="1:1" x14ac:dyDescent="0.25">
      <c r="A158" s="2" t="str">
        <f>HYPERLINK("normal/F598548923.png", "F598548923")</f>
        <v>F598548923</v>
      </c>
    </row>
    <row r="159" spans="1:1" x14ac:dyDescent="0.25">
      <c r="A159" s="2" t="str">
        <f>HYPERLINK("normal/F599077249.jpg", "F599077249")</f>
        <v>F599077249</v>
      </c>
    </row>
    <row r="160" spans="1:1" x14ac:dyDescent="0.25">
      <c r="A160" s="2" t="str">
        <f>HYPERLINK("normal/F661569096.jpg", "F661569096")</f>
        <v>F661569096</v>
      </c>
    </row>
    <row r="161" spans="1:1" x14ac:dyDescent="0.25">
      <c r="A161" s="2" t="str">
        <f>HYPERLINK("normal/F680901880.jpg", "F680901880")</f>
        <v>F680901880</v>
      </c>
    </row>
    <row r="162" spans="1:1" x14ac:dyDescent="0.25">
      <c r="A162" s="2" t="str">
        <f>HYPERLINK("normal/F703359640.png", "F703359640")</f>
        <v>F703359640</v>
      </c>
    </row>
    <row r="163" spans="1:1" x14ac:dyDescent="0.25">
      <c r="A163" s="2" t="str">
        <f>HYPERLINK("normal/F762898067.png", "F762898067")</f>
        <v>F762898067</v>
      </c>
    </row>
    <row r="164" spans="1:1" x14ac:dyDescent="0.25">
      <c r="A164" s="2" t="str">
        <f>HYPERLINK("normal/F775310701.png", "F775310701")</f>
        <v>F775310701</v>
      </c>
    </row>
    <row r="165" spans="1:1" x14ac:dyDescent="0.25">
      <c r="A165" s="2" t="str">
        <f>HYPERLINK("normal/F782975974.jpg", "F782975974")</f>
        <v>F782975974</v>
      </c>
    </row>
    <row r="166" spans="1:1" x14ac:dyDescent="0.25">
      <c r="A166" s="2" t="str">
        <f>HYPERLINK("normal/F817535218.png", "F817535218")</f>
        <v>F817535218</v>
      </c>
    </row>
    <row r="167" spans="1:1" x14ac:dyDescent="0.25">
      <c r="A167" s="2" t="str">
        <f>HYPERLINK("normal/F900618125.png", "F900618125")</f>
        <v>F900618125</v>
      </c>
    </row>
    <row r="168" spans="1:1" x14ac:dyDescent="0.25">
      <c r="A168" s="2" t="str">
        <f>HYPERLINK("normal/F932290875.png", "F932290875")</f>
        <v>F932290875</v>
      </c>
    </row>
    <row r="169" spans="1:1" x14ac:dyDescent="0.25">
      <c r="A169" s="2" t="str">
        <f>HYPERLINK("normal/F958737639.png", "F958737639")</f>
        <v>F958737639</v>
      </c>
    </row>
    <row r="170" spans="1:1" x14ac:dyDescent="0.25">
      <c r="A170" s="2" t="str">
        <f>HYPERLINK("normal/F993289214.png", "F993289214")</f>
        <v>F993289214</v>
      </c>
    </row>
    <row r="171" spans="1:1" x14ac:dyDescent="0.25">
      <c r="A171" s="2" t="str">
        <f>HYPERLINK("normal/G028729020.jpg", "G028729020")</f>
        <v>G028729020</v>
      </c>
    </row>
    <row r="172" spans="1:1" x14ac:dyDescent="0.25">
      <c r="A172" s="2" t="str">
        <f>HYPERLINK("normal/G093161944.png", "G093161944")</f>
        <v>G093161944</v>
      </c>
    </row>
    <row r="173" spans="1:1" x14ac:dyDescent="0.25">
      <c r="A173" s="2" t="str">
        <f>HYPERLINK("normal/G112493832.png", "G112493832")</f>
        <v>G112493832</v>
      </c>
    </row>
    <row r="174" spans="1:1" x14ac:dyDescent="0.25">
      <c r="A174" s="2" t="str">
        <f>HYPERLINK("normal/G120691970.jpg", "G120691970")</f>
        <v>G120691970</v>
      </c>
    </row>
    <row r="175" spans="1:1" x14ac:dyDescent="0.25">
      <c r="A175" s="2" t="str">
        <f>HYPERLINK("normal/G205060944.jpg", "G205060944")</f>
        <v>G205060944</v>
      </c>
    </row>
    <row r="176" spans="1:1" x14ac:dyDescent="0.25">
      <c r="A176" s="2" t="str">
        <f>HYPERLINK("normal/G261830628.png", "G261830628")</f>
        <v>G261830628</v>
      </c>
    </row>
    <row r="177" spans="1:1" x14ac:dyDescent="0.25">
      <c r="A177" s="2" t="str">
        <f>HYPERLINK("normal/G321532616.jpg", "G321532616")</f>
        <v>G321532616</v>
      </c>
    </row>
    <row r="178" spans="1:1" x14ac:dyDescent="0.25">
      <c r="A178" s="2" t="str">
        <f>HYPERLINK("normal/G461847429.png", "G461847429")</f>
        <v>G461847429</v>
      </c>
    </row>
    <row r="179" spans="1:1" x14ac:dyDescent="0.25">
      <c r="A179" s="2" t="str">
        <f>HYPERLINK("normal/G510849704.png", "G510849704")</f>
        <v>G510849704</v>
      </c>
    </row>
    <row r="180" spans="1:1" x14ac:dyDescent="0.25">
      <c r="A180" s="2" t="str">
        <f>HYPERLINK("normal/G522128794.png", "G522128794")</f>
        <v>G522128794</v>
      </c>
    </row>
    <row r="181" spans="1:1" x14ac:dyDescent="0.25">
      <c r="A181" s="2" t="str">
        <f>HYPERLINK("normal/G613265037.png", "G613265037")</f>
        <v>G613265037</v>
      </c>
    </row>
    <row r="182" spans="1:1" x14ac:dyDescent="0.25">
      <c r="A182" s="2" t="str">
        <f>HYPERLINK("normal/G647418553.png", "G647418553")</f>
        <v>G647418553</v>
      </c>
    </row>
    <row r="183" spans="1:1" x14ac:dyDescent="0.25">
      <c r="A183" s="2" t="str">
        <f>HYPERLINK("normal/G715910243.png", "G715910243")</f>
        <v>G715910243</v>
      </c>
    </row>
    <row r="184" spans="1:1" x14ac:dyDescent="0.25">
      <c r="A184" s="2" t="str">
        <f>HYPERLINK("normal/G737739034.png", "G737739034")</f>
        <v>G737739034</v>
      </c>
    </row>
    <row r="185" spans="1:1" x14ac:dyDescent="0.25">
      <c r="A185" s="2" t="str">
        <f>HYPERLINK("normal/G764098054.jpg", "G764098054")</f>
        <v>G764098054</v>
      </c>
    </row>
    <row r="186" spans="1:1" x14ac:dyDescent="0.25">
      <c r="A186" s="2" t="str">
        <f>HYPERLINK("normal/G814031626.png", "G814031626")</f>
        <v>G814031626</v>
      </c>
    </row>
    <row r="187" spans="1:1" x14ac:dyDescent="0.25">
      <c r="A187" s="2" t="str">
        <f>HYPERLINK("normal/G838640074.png", "G838640074")</f>
        <v>G838640074</v>
      </c>
    </row>
    <row r="188" spans="1:1" x14ac:dyDescent="0.25">
      <c r="A188" s="2" t="str">
        <f>HYPERLINK("normal/G854043370.jpg", "G854043370")</f>
        <v>G854043370</v>
      </c>
    </row>
    <row r="189" spans="1:1" x14ac:dyDescent="0.25">
      <c r="A189" s="2" t="str">
        <f>HYPERLINK("normal/G885935785.png", "G885935785")</f>
        <v>G885935785</v>
      </c>
    </row>
    <row r="190" spans="1:1" x14ac:dyDescent="0.25">
      <c r="A190" s="2" t="str">
        <f>HYPERLINK("normal/G921666409.jpg", "G921666409")</f>
        <v>G921666409</v>
      </c>
    </row>
    <row r="191" spans="1:1" x14ac:dyDescent="0.25">
      <c r="A191" s="2" t="str">
        <f>HYPERLINK("normal/G925790354.jpg", "G925790354")</f>
        <v>G925790354</v>
      </c>
    </row>
    <row r="192" spans="1:1" x14ac:dyDescent="0.25">
      <c r="A192" s="2" t="str">
        <f>HYPERLINK("normal/G998504377.jpg", "G998504377")</f>
        <v>G998504377</v>
      </c>
    </row>
    <row r="193" spans="1:1" x14ac:dyDescent="0.25">
      <c r="A193" s="2" t="str">
        <f>HYPERLINK("normal/H086515498.jpg", "H086515498")</f>
        <v>H086515498</v>
      </c>
    </row>
    <row r="194" spans="1:1" x14ac:dyDescent="0.25">
      <c r="A194" s="2" t="str">
        <f>HYPERLINK("normal/H096540130.png", "H096540130")</f>
        <v>H096540130</v>
      </c>
    </row>
    <row r="195" spans="1:1" x14ac:dyDescent="0.25">
      <c r="A195" s="2" t="str">
        <f>HYPERLINK("normal/H161816235.jpg", "H161816235")</f>
        <v>H161816235</v>
      </c>
    </row>
    <row r="196" spans="1:1" x14ac:dyDescent="0.25">
      <c r="A196" s="2" t="str">
        <f>HYPERLINK("normal/H205783680.jpg", "H205783680")</f>
        <v>H205783680</v>
      </c>
    </row>
    <row r="197" spans="1:1" x14ac:dyDescent="0.25">
      <c r="A197" s="2" t="str">
        <f>HYPERLINK("normal/H250424002.png", "H250424002")</f>
        <v>H250424002</v>
      </c>
    </row>
    <row r="198" spans="1:1" x14ac:dyDescent="0.25">
      <c r="A198" s="2" t="str">
        <f>HYPERLINK("normal/H264188535.jpg", "H264188535")</f>
        <v>H264188535</v>
      </c>
    </row>
    <row r="199" spans="1:1" x14ac:dyDescent="0.25">
      <c r="A199" s="2" t="str">
        <f>HYPERLINK("normal/H285442312.jpg", "H285442312")</f>
        <v>H285442312</v>
      </c>
    </row>
    <row r="200" spans="1:1" x14ac:dyDescent="0.25">
      <c r="A200" s="2" t="str">
        <f>HYPERLINK("normal/H351613333.png", "H351613333")</f>
        <v>H351613333</v>
      </c>
    </row>
    <row r="201" spans="1:1" x14ac:dyDescent="0.25">
      <c r="A201" s="2" t="str">
        <f>HYPERLINK("normal/H375893599.png", "H375893599")</f>
        <v>H375893599</v>
      </c>
    </row>
    <row r="202" spans="1:1" x14ac:dyDescent="0.25">
      <c r="A202" s="2" t="str">
        <f>HYPERLINK("normal/H426139462.png", "H426139462")</f>
        <v>H426139462</v>
      </c>
    </row>
    <row r="203" spans="1:1" x14ac:dyDescent="0.25">
      <c r="A203" s="2" t="str">
        <f>HYPERLINK("normal/H577485827.png", "H577485827")</f>
        <v>H577485827</v>
      </c>
    </row>
    <row r="204" spans="1:1" x14ac:dyDescent="0.25">
      <c r="A204" s="2" t="str">
        <f>HYPERLINK("normal/H619827080.png", "H619827080")</f>
        <v>H619827080</v>
      </c>
    </row>
    <row r="205" spans="1:1" x14ac:dyDescent="0.25">
      <c r="A205" s="2" t="str">
        <f>HYPERLINK("normal/H710956222.png", "H710956222")</f>
        <v>H710956222</v>
      </c>
    </row>
    <row r="206" spans="1:1" x14ac:dyDescent="0.25">
      <c r="A206" s="2" t="str">
        <f>HYPERLINK("normal/H726290529.png", "H726290529")</f>
        <v>H726290529</v>
      </c>
    </row>
    <row r="207" spans="1:1" x14ac:dyDescent="0.25">
      <c r="A207" s="2" t="str">
        <f>HYPERLINK("normal/H772245342.png", "H772245342")</f>
        <v>H772245342</v>
      </c>
    </row>
    <row r="208" spans="1:1" x14ac:dyDescent="0.25">
      <c r="A208" s="2" t="str">
        <f>HYPERLINK("normal/H787979193.png", "H787979193")</f>
        <v>H787979193</v>
      </c>
    </row>
    <row r="209" spans="1:1" x14ac:dyDescent="0.25">
      <c r="A209" s="2" t="str">
        <f>HYPERLINK("normal/H843407601.jpg", "H843407601")</f>
        <v>H843407601</v>
      </c>
    </row>
    <row r="210" spans="1:1" x14ac:dyDescent="0.25">
      <c r="A210" s="2" t="str">
        <f>HYPERLINK("normal/H844052473.jpg", "H844052473")</f>
        <v>H844052473</v>
      </c>
    </row>
    <row r="211" spans="1:1" x14ac:dyDescent="0.25">
      <c r="A211" s="2" t="str">
        <f>HYPERLINK("normal/H880118008.jpg", "H880118008")</f>
        <v>H880118008</v>
      </c>
    </row>
    <row r="212" spans="1:1" x14ac:dyDescent="0.25">
      <c r="A212" s="2" t="str">
        <f>HYPERLINK("normal/H897082908.jpg", "H897082908")</f>
        <v>H897082908</v>
      </c>
    </row>
    <row r="213" spans="1:1" x14ac:dyDescent="0.25">
      <c r="A213" s="2" t="str">
        <f>HYPERLINK("normal/H906057898.jpg", "H906057898")</f>
        <v>H906057898</v>
      </c>
    </row>
    <row r="214" spans="1:1" x14ac:dyDescent="0.25">
      <c r="A214" s="2" t="str">
        <f>HYPERLINK("normal/I032402002.jpg", "I032402002")</f>
        <v>I032402002</v>
      </c>
    </row>
    <row r="215" spans="1:1" x14ac:dyDescent="0.25">
      <c r="A215" s="2" t="str">
        <f>HYPERLINK("normal/I062966871.png", "I062966871")</f>
        <v>I062966871</v>
      </c>
    </row>
    <row r="216" spans="1:1" x14ac:dyDescent="0.25">
      <c r="A216" s="2" t="str">
        <f>HYPERLINK("normal/I115603527.png", "I115603527")</f>
        <v>I115603527</v>
      </c>
    </row>
    <row r="217" spans="1:1" x14ac:dyDescent="0.25">
      <c r="A217" s="2" t="str">
        <f>HYPERLINK("normal/I126397548.png", "I126397548")</f>
        <v>I126397548</v>
      </c>
    </row>
    <row r="218" spans="1:1" x14ac:dyDescent="0.25">
      <c r="A218" s="2" t="str">
        <f>HYPERLINK("normal/I192698153.png", "I192698153")</f>
        <v>I192698153</v>
      </c>
    </row>
    <row r="219" spans="1:1" x14ac:dyDescent="0.25">
      <c r="A219" s="2" t="str">
        <f>HYPERLINK("normal/I265934911.png", "I265934911")</f>
        <v>I265934911</v>
      </c>
    </row>
    <row r="220" spans="1:1" x14ac:dyDescent="0.25">
      <c r="A220" s="2" t="str">
        <f>HYPERLINK("normal/I279199097.png", "I279199097")</f>
        <v>I279199097</v>
      </c>
    </row>
    <row r="221" spans="1:1" x14ac:dyDescent="0.25">
      <c r="A221" s="2" t="str">
        <f>HYPERLINK("normal/I284149863.png", "I284149863")</f>
        <v>I284149863</v>
      </c>
    </row>
    <row r="222" spans="1:1" x14ac:dyDescent="0.25">
      <c r="A222" s="2" t="str">
        <f>HYPERLINK("normal/I341240911.png", "I341240911")</f>
        <v>I341240911</v>
      </c>
    </row>
    <row r="223" spans="1:1" x14ac:dyDescent="0.25">
      <c r="A223" s="2" t="str">
        <f>HYPERLINK("normal/I374592759.png", "I374592759")</f>
        <v>I374592759</v>
      </c>
    </row>
    <row r="224" spans="1:1" x14ac:dyDescent="0.25">
      <c r="A224" s="2" t="str">
        <f>HYPERLINK("normal/I512220152.jpg", "I512220152")</f>
        <v>I512220152</v>
      </c>
    </row>
    <row r="225" spans="1:1" x14ac:dyDescent="0.25">
      <c r="A225" s="2" t="str">
        <f>HYPERLINK("normal/I537275123.jpg", "I537275123")</f>
        <v>I537275123</v>
      </c>
    </row>
    <row r="226" spans="1:1" x14ac:dyDescent="0.25">
      <c r="A226" s="2" t="str">
        <f>HYPERLINK("normal/I546688445.jpg", "I546688445")</f>
        <v>I546688445</v>
      </c>
    </row>
    <row r="227" spans="1:1" x14ac:dyDescent="0.25">
      <c r="A227" s="2" t="str">
        <f>HYPERLINK("normal/I548024704.jpg", "I548024704")</f>
        <v>I548024704</v>
      </c>
    </row>
    <row r="228" spans="1:1" x14ac:dyDescent="0.25">
      <c r="A228" s="2" t="str">
        <f>HYPERLINK("normal/I599228065.jpg", "I599228065")</f>
        <v>I599228065</v>
      </c>
    </row>
    <row r="229" spans="1:1" x14ac:dyDescent="0.25">
      <c r="A229" s="2" t="str">
        <f>HYPERLINK("normal/I680092176.jpg", "I680092176")</f>
        <v>I680092176</v>
      </c>
    </row>
    <row r="230" spans="1:1" x14ac:dyDescent="0.25">
      <c r="A230" s="2" t="str">
        <f>HYPERLINK("normal/I758944415.jpg", "I758944415")</f>
        <v>I758944415</v>
      </c>
    </row>
    <row r="231" spans="1:1" x14ac:dyDescent="0.25">
      <c r="A231" s="2" t="str">
        <f>HYPERLINK("normal/I769455524.png", "I769455524")</f>
        <v>I769455524</v>
      </c>
    </row>
    <row r="232" spans="1:1" x14ac:dyDescent="0.25">
      <c r="A232" s="2" t="str">
        <f>HYPERLINK("normal/I783844008.jpg", "I783844008")</f>
        <v>I783844008</v>
      </c>
    </row>
    <row r="233" spans="1:1" x14ac:dyDescent="0.25">
      <c r="A233" s="2" t="str">
        <f>HYPERLINK("normal/I807120505.png", "I807120505")</f>
        <v>I807120505</v>
      </c>
    </row>
    <row r="234" spans="1:1" x14ac:dyDescent="0.25">
      <c r="A234" s="2" t="str">
        <f>HYPERLINK("normal/I839237365.jpg", "I839237365")</f>
        <v>I839237365</v>
      </c>
    </row>
    <row r="235" spans="1:1" x14ac:dyDescent="0.25">
      <c r="A235" s="2" t="str">
        <f>HYPERLINK("normal/I945545511.jpg", "I945545511")</f>
        <v>I945545511</v>
      </c>
    </row>
    <row r="236" spans="1:1" x14ac:dyDescent="0.25">
      <c r="A236" s="2" t="str">
        <f>HYPERLINK("normal/I982610823.png", "I982610823")</f>
        <v>I982610823</v>
      </c>
    </row>
    <row r="237" spans="1:1" x14ac:dyDescent="0.25">
      <c r="A237" s="2" t="str">
        <f>HYPERLINK("normal/J035593148.jpg", "J035593148")</f>
        <v>J035593148</v>
      </c>
    </row>
    <row r="238" spans="1:1" x14ac:dyDescent="0.25">
      <c r="A238" s="2" t="str">
        <f>HYPERLINK("normal/J076559294.png", "J076559294")</f>
        <v>J076559294</v>
      </c>
    </row>
    <row r="239" spans="1:1" x14ac:dyDescent="0.25">
      <c r="A239" s="2" t="str">
        <f>HYPERLINK("normal/J077108407.jpg", "J077108407")</f>
        <v>J077108407</v>
      </c>
    </row>
    <row r="240" spans="1:1" x14ac:dyDescent="0.25">
      <c r="A240" s="2" t="str">
        <f>HYPERLINK("normal/J091011018.jpg", "J091011018")</f>
        <v>J091011018</v>
      </c>
    </row>
    <row r="241" spans="1:1" x14ac:dyDescent="0.25">
      <c r="A241" s="2" t="str">
        <f>HYPERLINK("normal/J240794149.jpg", "J240794149")</f>
        <v>J240794149</v>
      </c>
    </row>
    <row r="242" spans="1:1" x14ac:dyDescent="0.25">
      <c r="A242" s="2" t="str">
        <f>HYPERLINK("normal/J289683213.jpg", "J289683213")</f>
        <v>J289683213</v>
      </c>
    </row>
    <row r="243" spans="1:1" x14ac:dyDescent="0.25">
      <c r="A243" s="2" t="str">
        <f>HYPERLINK("normal/J307730951.png", "J307730951")</f>
        <v>J307730951</v>
      </c>
    </row>
    <row r="244" spans="1:1" x14ac:dyDescent="0.25">
      <c r="A244" s="2" t="str">
        <f>HYPERLINK("normal/J341586110.jpg", "J341586110")</f>
        <v>J341586110</v>
      </c>
    </row>
    <row r="245" spans="1:1" x14ac:dyDescent="0.25">
      <c r="A245" s="2" t="str">
        <f>HYPERLINK("normal/J602530428.jpg", "J602530428")</f>
        <v>J602530428</v>
      </c>
    </row>
    <row r="246" spans="1:1" x14ac:dyDescent="0.25">
      <c r="A246" s="2" t="str">
        <f>HYPERLINK("normal/J605441019.jpg", "J605441019")</f>
        <v>J605441019</v>
      </c>
    </row>
    <row r="247" spans="1:1" x14ac:dyDescent="0.25">
      <c r="A247" s="2" t="str">
        <f>HYPERLINK("normal/J608482718.jpg", "J608482718")</f>
        <v>J608482718</v>
      </c>
    </row>
    <row r="248" spans="1:1" x14ac:dyDescent="0.25">
      <c r="A248" s="2" t="str">
        <f>HYPERLINK("normal/J623669276.jpg", "J623669276")</f>
        <v>J623669276</v>
      </c>
    </row>
    <row r="249" spans="1:1" x14ac:dyDescent="0.25">
      <c r="A249" s="2" t="str">
        <f>HYPERLINK("normal/J671151955.png", "J671151955")</f>
        <v>J671151955</v>
      </c>
    </row>
    <row r="250" spans="1:1" x14ac:dyDescent="0.25">
      <c r="A250" s="2" t="str">
        <f>HYPERLINK("normal/J683773894.jpg", "J683773894")</f>
        <v>J683773894</v>
      </c>
    </row>
    <row r="251" spans="1:1" x14ac:dyDescent="0.25">
      <c r="A251" s="2" t="str">
        <f>HYPERLINK("normal/J732183429.png", "J732183429")</f>
        <v>J732183429</v>
      </c>
    </row>
    <row r="252" spans="1:1" x14ac:dyDescent="0.25">
      <c r="A252" s="2" t="str">
        <f>HYPERLINK("normal/J809279907.jpg", "J809279907")</f>
        <v>J809279907</v>
      </c>
    </row>
    <row r="253" spans="1:1" x14ac:dyDescent="0.25">
      <c r="A253" s="2" t="str">
        <f>HYPERLINK("normal/J934991647.jpg", "J934991647")</f>
        <v>J934991647</v>
      </c>
    </row>
    <row r="254" spans="1:1" x14ac:dyDescent="0.25">
      <c r="A254" s="2" t="str">
        <f>HYPERLINK("normal/K096837052.png", "K096837052")</f>
        <v>K096837052</v>
      </c>
    </row>
    <row r="255" spans="1:1" x14ac:dyDescent="0.25">
      <c r="A255" s="2" t="str">
        <f>HYPERLINK("normal/K139494278.png", "K139494278")</f>
        <v>K139494278</v>
      </c>
    </row>
    <row r="256" spans="1:1" x14ac:dyDescent="0.25">
      <c r="A256" s="2" t="str">
        <f>HYPERLINK("normal/K231179221.png", "K231179221")</f>
        <v>K231179221</v>
      </c>
    </row>
    <row r="257" spans="1:1" x14ac:dyDescent="0.25">
      <c r="A257" s="2" t="str">
        <f>HYPERLINK("normal/K296223164.png", "K296223164")</f>
        <v>K296223164</v>
      </c>
    </row>
    <row r="258" spans="1:1" x14ac:dyDescent="0.25">
      <c r="A258" s="2" t="str">
        <f>HYPERLINK("normal/K320538136.png", "K320538136")</f>
        <v>K320538136</v>
      </c>
    </row>
    <row r="259" spans="1:1" x14ac:dyDescent="0.25">
      <c r="A259" s="2" t="str">
        <f>HYPERLINK("normal/K356389577.png", "K356389577")</f>
        <v>K356389577</v>
      </c>
    </row>
    <row r="260" spans="1:1" x14ac:dyDescent="0.25">
      <c r="A260" s="2" t="str">
        <f>HYPERLINK("normal/K379719354.png", "K379719354")</f>
        <v>K379719354</v>
      </c>
    </row>
    <row r="261" spans="1:1" x14ac:dyDescent="0.25">
      <c r="A261" s="2" t="str">
        <f>HYPERLINK("normal/K430324520.png", "K430324520")</f>
        <v>K430324520</v>
      </c>
    </row>
    <row r="262" spans="1:1" x14ac:dyDescent="0.25">
      <c r="A262" s="2" t="str">
        <f>HYPERLINK("normal/K446755046.png", "K446755046")</f>
        <v>K446755046</v>
      </c>
    </row>
    <row r="263" spans="1:1" x14ac:dyDescent="0.25">
      <c r="A263" s="2" t="str">
        <f>HYPERLINK("normal/K512913771.png", "K512913771")</f>
        <v>K512913771</v>
      </c>
    </row>
    <row r="264" spans="1:1" x14ac:dyDescent="0.25">
      <c r="A264" s="2" t="str">
        <f>HYPERLINK("normal/K559797086.jpg", "K559797086")</f>
        <v>K559797086</v>
      </c>
    </row>
    <row r="265" spans="1:1" x14ac:dyDescent="0.25">
      <c r="A265" s="2" t="str">
        <f>HYPERLINK("normal/K639733792.jpg", "K639733792")</f>
        <v>K639733792</v>
      </c>
    </row>
    <row r="266" spans="1:1" x14ac:dyDescent="0.25">
      <c r="A266" s="2" t="str">
        <f>HYPERLINK("normal/K690757381.jpg", "K690757381")</f>
        <v>K690757381</v>
      </c>
    </row>
    <row r="267" spans="1:1" x14ac:dyDescent="0.25">
      <c r="A267" s="2" t="str">
        <f>HYPERLINK("normal/K691135677.png", "K691135677")</f>
        <v>K691135677</v>
      </c>
    </row>
    <row r="268" spans="1:1" x14ac:dyDescent="0.25">
      <c r="A268" s="2" t="str">
        <f>HYPERLINK("normal/K789230054.jpg", "K789230054")</f>
        <v>K789230054</v>
      </c>
    </row>
    <row r="269" spans="1:1" x14ac:dyDescent="0.25">
      <c r="A269" s="2" t="str">
        <f>HYPERLINK("normal/K817928432.png", "K817928432")</f>
        <v>K817928432</v>
      </c>
    </row>
    <row r="270" spans="1:1" x14ac:dyDescent="0.25">
      <c r="A270" s="2" t="str">
        <f>HYPERLINK("normal/K875553271.png", "K875553271")</f>
        <v>K875553271</v>
      </c>
    </row>
    <row r="271" spans="1:1" x14ac:dyDescent="0.25">
      <c r="A271" s="2" t="str">
        <f>HYPERLINK("normal/K980411476.jpg", "K980411476")</f>
        <v>K980411476</v>
      </c>
    </row>
    <row r="272" spans="1:1" x14ac:dyDescent="0.25">
      <c r="A272" s="2" t="str">
        <f>HYPERLINK("normal/K982676722.png", "K982676722")</f>
        <v>K982676722</v>
      </c>
    </row>
    <row r="273" spans="1:1" x14ac:dyDescent="0.25">
      <c r="A273" s="2" t="str">
        <f>HYPERLINK("normal/L003613100.jpg", "L003613100")</f>
        <v>L003613100</v>
      </c>
    </row>
    <row r="274" spans="1:1" x14ac:dyDescent="0.25">
      <c r="A274" s="2" t="str">
        <f>HYPERLINK("normal/L062370397.jpg", "L062370397")</f>
        <v>L062370397</v>
      </c>
    </row>
    <row r="275" spans="1:1" x14ac:dyDescent="0.25">
      <c r="A275" s="2" t="str">
        <f>HYPERLINK("normal/L114619259.png", "L114619259")</f>
        <v>L114619259</v>
      </c>
    </row>
    <row r="276" spans="1:1" x14ac:dyDescent="0.25">
      <c r="A276" s="2" t="str">
        <f>HYPERLINK("normal/L160929173.png", "L160929173")</f>
        <v>L160929173</v>
      </c>
    </row>
    <row r="277" spans="1:1" x14ac:dyDescent="0.25">
      <c r="A277" s="2" t="str">
        <f>HYPERLINK("normal/L178754254.jpg", "L178754254")</f>
        <v>L178754254</v>
      </c>
    </row>
    <row r="278" spans="1:1" x14ac:dyDescent="0.25">
      <c r="A278" s="2" t="str">
        <f>HYPERLINK("normal/L188914106.jpg", "L188914106")</f>
        <v>L188914106</v>
      </c>
    </row>
    <row r="279" spans="1:1" x14ac:dyDescent="0.25">
      <c r="A279" s="2" t="str">
        <f>HYPERLINK("normal/L241433181.png", "L241433181")</f>
        <v>L241433181</v>
      </c>
    </row>
    <row r="280" spans="1:1" x14ac:dyDescent="0.25">
      <c r="A280" s="2" t="str">
        <f>HYPERLINK("normal/L266661142.png", "L266661142")</f>
        <v>L266661142</v>
      </c>
    </row>
    <row r="281" spans="1:1" x14ac:dyDescent="0.25">
      <c r="A281" s="2" t="str">
        <f>HYPERLINK("normal/L377823939.jpg", "L377823939")</f>
        <v>L377823939</v>
      </c>
    </row>
    <row r="282" spans="1:1" x14ac:dyDescent="0.25">
      <c r="A282" s="2" t="str">
        <f>HYPERLINK("normal/L393051255.jpg", "L393051255")</f>
        <v>L393051255</v>
      </c>
    </row>
    <row r="283" spans="1:1" x14ac:dyDescent="0.25">
      <c r="A283" s="2" t="str">
        <f>HYPERLINK("normal/L411016010.png", "L411016010")</f>
        <v>L411016010</v>
      </c>
    </row>
    <row r="284" spans="1:1" x14ac:dyDescent="0.25">
      <c r="A284" s="2" t="str">
        <f>HYPERLINK("normal/L426466456.jpg", "L426466456")</f>
        <v>L426466456</v>
      </c>
    </row>
    <row r="285" spans="1:1" x14ac:dyDescent="0.25">
      <c r="A285" s="2" t="str">
        <f>HYPERLINK("normal/L434785001.jpg", "L434785001")</f>
        <v>L434785001</v>
      </c>
    </row>
    <row r="286" spans="1:1" x14ac:dyDescent="0.25">
      <c r="A286" s="2" t="str">
        <f>HYPERLINK("normal/L441921793.png", "L441921793")</f>
        <v>L441921793</v>
      </c>
    </row>
    <row r="287" spans="1:1" x14ac:dyDescent="0.25">
      <c r="A287" s="2" t="str">
        <f>HYPERLINK("normal/L456596179.png", "L456596179")</f>
        <v>L456596179</v>
      </c>
    </row>
    <row r="288" spans="1:1" x14ac:dyDescent="0.25">
      <c r="A288" s="2" t="str">
        <f>HYPERLINK("normal/L484774674.png", "L484774674")</f>
        <v>L484774674</v>
      </c>
    </row>
    <row r="289" spans="1:1" x14ac:dyDescent="0.25">
      <c r="A289" s="2" t="str">
        <f>HYPERLINK("normal/L487128054.jpg", "L487128054")</f>
        <v>L487128054</v>
      </c>
    </row>
    <row r="290" spans="1:1" x14ac:dyDescent="0.25">
      <c r="A290" s="2" t="str">
        <f>HYPERLINK("normal/L545804030.jpg", "L545804030")</f>
        <v>L545804030</v>
      </c>
    </row>
    <row r="291" spans="1:1" x14ac:dyDescent="0.25">
      <c r="A291" s="2" t="str">
        <f>HYPERLINK("normal/L554605693.jpg", "L554605693")</f>
        <v>L554605693</v>
      </c>
    </row>
    <row r="292" spans="1:1" x14ac:dyDescent="0.25">
      <c r="A292" s="2" t="str">
        <f>HYPERLINK("normal/L580759230.jpg", "L580759230")</f>
        <v>L580759230</v>
      </c>
    </row>
    <row r="293" spans="1:1" x14ac:dyDescent="0.25">
      <c r="A293" s="2" t="str">
        <f>HYPERLINK("normal/L629037951.png", "L629037951")</f>
        <v>L629037951</v>
      </c>
    </row>
    <row r="294" spans="1:1" x14ac:dyDescent="0.25">
      <c r="A294" s="2" t="str">
        <f>HYPERLINK("normal/L643567661.jpg", "L643567661")</f>
        <v>L643567661</v>
      </c>
    </row>
    <row r="295" spans="1:1" x14ac:dyDescent="0.25">
      <c r="A295" s="2" t="str">
        <f>HYPERLINK("normal/L673092512.jpg", "L673092512")</f>
        <v>L673092512</v>
      </c>
    </row>
    <row r="296" spans="1:1" x14ac:dyDescent="0.25">
      <c r="A296" s="2" t="str">
        <f>HYPERLINK("normal/L784858064.jpg", "L784858064")</f>
        <v>L784858064</v>
      </c>
    </row>
    <row r="297" spans="1:1" x14ac:dyDescent="0.25">
      <c r="A297" s="2" t="str">
        <f>HYPERLINK("normal/L829035161.png", "L829035161")</f>
        <v>L829035161</v>
      </c>
    </row>
    <row r="298" spans="1:1" x14ac:dyDescent="0.25">
      <c r="A298" s="2" t="str">
        <f>HYPERLINK("normal/L887928971.jpg", "L887928971")</f>
        <v>L887928971</v>
      </c>
    </row>
    <row r="299" spans="1:1" x14ac:dyDescent="0.25">
      <c r="A299" s="2" t="str">
        <f>HYPERLINK("normal/L909704578.jpg", "L909704578")</f>
        <v>L909704578</v>
      </c>
    </row>
    <row r="300" spans="1:1" x14ac:dyDescent="0.25">
      <c r="A300" s="2" t="str">
        <f>HYPERLINK("normal/L910529712.png", "L910529712")</f>
        <v>L910529712</v>
      </c>
    </row>
    <row r="301" spans="1:1" x14ac:dyDescent="0.25">
      <c r="A301" s="2" t="str">
        <f>HYPERLINK("normal/L940849581.jpg", "L940849581")</f>
        <v>L940849581</v>
      </c>
    </row>
    <row r="302" spans="1:1" x14ac:dyDescent="0.25">
      <c r="A302" s="2" t="str">
        <f>HYPERLINK("normal/M022148629.png", "M022148629")</f>
        <v>M022148629</v>
      </c>
    </row>
    <row r="303" spans="1:1" x14ac:dyDescent="0.25">
      <c r="A303" s="2" t="str">
        <f>HYPERLINK("normal/M057522641.jpg", "M057522641")</f>
        <v>M057522641</v>
      </c>
    </row>
    <row r="304" spans="1:1" x14ac:dyDescent="0.25">
      <c r="A304" s="2" t="str">
        <f>HYPERLINK("normal/M064645969.jpg", "M064645969")</f>
        <v>M064645969</v>
      </c>
    </row>
    <row r="305" spans="1:1" x14ac:dyDescent="0.25">
      <c r="A305" s="2" t="str">
        <f>HYPERLINK("normal/M074922350.png", "M074922350")</f>
        <v>M074922350</v>
      </c>
    </row>
    <row r="306" spans="1:1" x14ac:dyDescent="0.25">
      <c r="A306" s="2" t="str">
        <f>HYPERLINK("normal/M078494468.jpg", "M078494468")</f>
        <v>M078494468</v>
      </c>
    </row>
    <row r="307" spans="1:1" x14ac:dyDescent="0.25">
      <c r="A307" s="2" t="str">
        <f>HYPERLINK("normal/M090560425.png", "M090560425")</f>
        <v>M090560425</v>
      </c>
    </row>
    <row r="308" spans="1:1" x14ac:dyDescent="0.25">
      <c r="A308" s="2" t="str">
        <f>HYPERLINK("normal/M156429149.png", "M156429149")</f>
        <v>M156429149</v>
      </c>
    </row>
    <row r="309" spans="1:1" x14ac:dyDescent="0.25">
      <c r="A309" s="2" t="str">
        <f>HYPERLINK("normal/M175163888.png", "M175163888")</f>
        <v>M175163888</v>
      </c>
    </row>
    <row r="310" spans="1:1" x14ac:dyDescent="0.25">
      <c r="A310" s="2" t="str">
        <f>HYPERLINK("normal/M205448054.jpg", "M205448054")</f>
        <v>M205448054</v>
      </c>
    </row>
    <row r="311" spans="1:1" x14ac:dyDescent="0.25">
      <c r="A311" s="2" t="str">
        <f>HYPERLINK("normal/M209823134.jpg", "M209823134")</f>
        <v>M209823134</v>
      </c>
    </row>
    <row r="312" spans="1:1" x14ac:dyDescent="0.25">
      <c r="A312" s="2" t="str">
        <f>HYPERLINK("normal/M211072471.jpg", "M211072471")</f>
        <v>M211072471</v>
      </c>
    </row>
    <row r="313" spans="1:1" x14ac:dyDescent="0.25">
      <c r="A313" s="2" t="str">
        <f>HYPERLINK("normal/M278730306.jpg", "M278730306")</f>
        <v>M278730306</v>
      </c>
    </row>
    <row r="314" spans="1:1" x14ac:dyDescent="0.25">
      <c r="A314" s="2" t="str">
        <f>HYPERLINK("normal/M281465159.png", "M281465159")</f>
        <v>M281465159</v>
      </c>
    </row>
    <row r="315" spans="1:1" x14ac:dyDescent="0.25">
      <c r="A315" s="2" t="str">
        <f>HYPERLINK("normal/M320032834.jpg", "M320032834")</f>
        <v>M320032834</v>
      </c>
    </row>
    <row r="316" spans="1:1" x14ac:dyDescent="0.25">
      <c r="A316" s="2" t="str">
        <f>HYPERLINK("normal/M386288188.jpg", "M386288188")</f>
        <v>M386288188</v>
      </c>
    </row>
    <row r="317" spans="1:1" x14ac:dyDescent="0.25">
      <c r="A317" s="2" t="str">
        <f>HYPERLINK("normal/M467896440.jpg", "M467896440")</f>
        <v>M467896440</v>
      </c>
    </row>
    <row r="318" spans="1:1" x14ac:dyDescent="0.25">
      <c r="A318" s="2" t="str">
        <f>HYPERLINK("normal/M489155187.jpg", "M489155187")</f>
        <v>M489155187</v>
      </c>
    </row>
    <row r="319" spans="1:1" x14ac:dyDescent="0.25">
      <c r="A319" s="2" t="str">
        <f>HYPERLINK("normal/M491325098.jpg", "M491325098")</f>
        <v>M491325098</v>
      </c>
    </row>
    <row r="320" spans="1:1" x14ac:dyDescent="0.25">
      <c r="A320" s="2" t="str">
        <f>HYPERLINK("normal/M539229461.png", "M539229461")</f>
        <v>M539229461</v>
      </c>
    </row>
    <row r="321" spans="1:1" x14ac:dyDescent="0.25">
      <c r="A321" s="2" t="str">
        <f>HYPERLINK("normal/M542765491.png", "M542765491")</f>
        <v>M542765491</v>
      </c>
    </row>
    <row r="322" spans="1:1" x14ac:dyDescent="0.25">
      <c r="A322" s="2" t="str">
        <f>HYPERLINK("normal/M574690597.png", "M574690597")</f>
        <v>M574690597</v>
      </c>
    </row>
    <row r="323" spans="1:1" x14ac:dyDescent="0.25">
      <c r="A323" s="2" t="str">
        <f>HYPERLINK("normal/M585354521.png", "M585354521")</f>
        <v>M585354521</v>
      </c>
    </row>
    <row r="324" spans="1:1" x14ac:dyDescent="0.25">
      <c r="A324" s="2" t="str">
        <f>HYPERLINK("normal/M601326186.jpg", "M601326186")</f>
        <v>M601326186</v>
      </c>
    </row>
    <row r="325" spans="1:1" x14ac:dyDescent="0.25">
      <c r="A325" s="2" t="str">
        <f>HYPERLINK("normal/M606478119.png", "M606478119")</f>
        <v>M606478119</v>
      </c>
    </row>
    <row r="326" spans="1:1" x14ac:dyDescent="0.25">
      <c r="A326" s="2" t="str">
        <f>HYPERLINK("normal/M648741051.jpg", "M648741051")</f>
        <v>M648741051</v>
      </c>
    </row>
    <row r="327" spans="1:1" x14ac:dyDescent="0.25">
      <c r="A327" s="2" t="str">
        <f>HYPERLINK("normal/M815170398.jpg", "M815170398")</f>
        <v>M815170398</v>
      </c>
    </row>
    <row r="328" spans="1:1" x14ac:dyDescent="0.25">
      <c r="A328" s="2" t="str">
        <f>HYPERLINK("normal/M868128378.png", "M868128378")</f>
        <v>M868128378</v>
      </c>
    </row>
    <row r="329" spans="1:1" x14ac:dyDescent="0.25">
      <c r="A329" s="2" t="str">
        <f>HYPERLINK("normal/M881650756.png", "M881650756")</f>
        <v>M881650756</v>
      </c>
    </row>
    <row r="330" spans="1:1" x14ac:dyDescent="0.25">
      <c r="A330" s="2" t="str">
        <f>HYPERLINK("normal/M979098962.png", "M979098962")</f>
        <v>M979098962</v>
      </c>
    </row>
    <row r="331" spans="1:1" x14ac:dyDescent="0.25">
      <c r="A331" s="2" t="str">
        <f>HYPERLINK("normal/M985571238.jpg", "M985571238")</f>
        <v>M985571238</v>
      </c>
    </row>
    <row r="332" spans="1:1" x14ac:dyDescent="0.25">
      <c r="A332" s="2" t="str">
        <f>HYPERLINK("normal/M988892741.png", "M988892741")</f>
        <v>M988892741</v>
      </c>
    </row>
    <row r="333" spans="1:1" x14ac:dyDescent="0.25">
      <c r="A333" s="2" t="str">
        <f>HYPERLINK("normal/N035578562.jpg", "N035578562")</f>
        <v>N035578562</v>
      </c>
    </row>
    <row r="334" spans="1:1" x14ac:dyDescent="0.25">
      <c r="A334" s="2" t="str">
        <f>HYPERLINK("normal/N054020468.png", "N054020468")</f>
        <v>N054020468</v>
      </c>
    </row>
    <row r="335" spans="1:1" x14ac:dyDescent="0.25">
      <c r="A335" s="2" t="str">
        <f>HYPERLINK("normal/N073219636.png", "N073219636")</f>
        <v>N073219636</v>
      </c>
    </row>
    <row r="336" spans="1:1" x14ac:dyDescent="0.25">
      <c r="A336" s="2" t="str">
        <f>HYPERLINK("normal/N124685753.jpg", "N124685753")</f>
        <v>N124685753</v>
      </c>
    </row>
    <row r="337" spans="1:1" x14ac:dyDescent="0.25">
      <c r="A337" s="2" t="str">
        <f>HYPERLINK("normal/N164133062.jpg", "N164133062")</f>
        <v>N164133062</v>
      </c>
    </row>
    <row r="338" spans="1:1" x14ac:dyDescent="0.25">
      <c r="A338" s="2" t="str">
        <f>HYPERLINK("normal/N185297890.jpg", "N185297890")</f>
        <v>N185297890</v>
      </c>
    </row>
    <row r="339" spans="1:1" x14ac:dyDescent="0.25">
      <c r="A339" s="2" t="str">
        <f>HYPERLINK("normal/N221480544.png", "N221480544")</f>
        <v>N221480544</v>
      </c>
    </row>
    <row r="340" spans="1:1" x14ac:dyDescent="0.25">
      <c r="A340" s="2" t="str">
        <f>HYPERLINK("normal/N227377945.png", "N227377945")</f>
        <v>N227377945</v>
      </c>
    </row>
    <row r="341" spans="1:1" x14ac:dyDescent="0.25">
      <c r="A341" s="2" t="str">
        <f>HYPERLINK("normal/N316678696.png", "N316678696")</f>
        <v>N316678696</v>
      </c>
    </row>
    <row r="342" spans="1:1" x14ac:dyDescent="0.25">
      <c r="A342" s="2" t="str">
        <f>HYPERLINK("normal/N339838089.png", "N339838089")</f>
        <v>N339838089</v>
      </c>
    </row>
    <row r="343" spans="1:1" x14ac:dyDescent="0.25">
      <c r="A343" s="2" t="str">
        <f>HYPERLINK("normal/N476690665.png", "N476690665")</f>
        <v>N476690665</v>
      </c>
    </row>
    <row r="344" spans="1:1" x14ac:dyDescent="0.25">
      <c r="A344" s="2" t="str">
        <f>HYPERLINK("normal/N486657940.png", "N486657940")</f>
        <v>N486657940</v>
      </c>
    </row>
    <row r="345" spans="1:1" x14ac:dyDescent="0.25">
      <c r="A345" s="2" t="str">
        <f>HYPERLINK("normal/N495939572.jpg", "N495939572")</f>
        <v>N495939572</v>
      </c>
    </row>
    <row r="346" spans="1:1" x14ac:dyDescent="0.25">
      <c r="A346" s="2" t="str">
        <f>HYPERLINK("normal/N578029735.jpg", "N578029735")</f>
        <v>N578029735</v>
      </c>
    </row>
    <row r="347" spans="1:1" x14ac:dyDescent="0.25">
      <c r="A347" s="2" t="str">
        <f>HYPERLINK("normal/N584276294.jpg", "N584276294")</f>
        <v>N584276294</v>
      </c>
    </row>
    <row r="348" spans="1:1" x14ac:dyDescent="0.25">
      <c r="A348" s="2" t="str">
        <f>HYPERLINK("normal/N593971125.png", "N593971125")</f>
        <v>N593971125</v>
      </c>
    </row>
    <row r="349" spans="1:1" x14ac:dyDescent="0.25">
      <c r="A349" s="2" t="str">
        <f>HYPERLINK("normal/N608325203.jpg", "N608325203")</f>
        <v>N608325203</v>
      </c>
    </row>
    <row r="350" spans="1:1" x14ac:dyDescent="0.25">
      <c r="A350" s="2" t="str">
        <f>HYPERLINK("normal/N619789726.png", "N619789726")</f>
        <v>N619789726</v>
      </c>
    </row>
    <row r="351" spans="1:1" x14ac:dyDescent="0.25">
      <c r="A351" s="2" t="str">
        <f>HYPERLINK("normal/N660800029.png", "N660800029")</f>
        <v>N660800029</v>
      </c>
    </row>
    <row r="352" spans="1:1" x14ac:dyDescent="0.25">
      <c r="A352" s="2" t="str">
        <f>HYPERLINK("normal/N672602815.jpg", "N672602815")</f>
        <v>N672602815</v>
      </c>
    </row>
    <row r="353" spans="1:1" x14ac:dyDescent="0.25">
      <c r="A353" s="2" t="str">
        <f>HYPERLINK("normal/N805022664.jpg", "N805022664")</f>
        <v>N805022664</v>
      </c>
    </row>
    <row r="354" spans="1:1" x14ac:dyDescent="0.25">
      <c r="A354" s="2" t="str">
        <f>HYPERLINK("normal/N813720845.png", "N813720845")</f>
        <v>N813720845</v>
      </c>
    </row>
    <row r="355" spans="1:1" x14ac:dyDescent="0.25">
      <c r="A355" s="2" t="str">
        <f>HYPERLINK("normal/N905488332.png", "N905488332")</f>
        <v>N905488332</v>
      </c>
    </row>
    <row r="356" spans="1:1" x14ac:dyDescent="0.25">
      <c r="A356" s="2" t="str">
        <f>HYPERLINK("normal/N914528563.jpg", "N914528563")</f>
        <v>N914528563</v>
      </c>
    </row>
    <row r="357" spans="1:1" x14ac:dyDescent="0.25">
      <c r="A357" s="2" t="str">
        <f>HYPERLINK("normal/N933292683.jpg", "N933292683")</f>
        <v>N933292683</v>
      </c>
    </row>
    <row r="358" spans="1:1" x14ac:dyDescent="0.25">
      <c r="A358" s="2" t="str">
        <f>HYPERLINK("normal/N947684612.png", "N947684612")</f>
        <v>N947684612</v>
      </c>
    </row>
    <row r="359" spans="1:1" x14ac:dyDescent="0.25">
      <c r="A359" s="2" t="str">
        <f>HYPERLINK("normal/O023024940.png", "O023024940")</f>
        <v>O023024940</v>
      </c>
    </row>
    <row r="360" spans="1:1" x14ac:dyDescent="0.25">
      <c r="A360" s="2" t="str">
        <f>HYPERLINK("normal/O055276157.jpg", "O055276157")</f>
        <v>O055276157</v>
      </c>
    </row>
    <row r="361" spans="1:1" x14ac:dyDescent="0.25">
      <c r="A361" s="2" t="str">
        <f>HYPERLINK("normal/O131533438.png", "O131533438")</f>
        <v>O131533438</v>
      </c>
    </row>
    <row r="362" spans="1:1" x14ac:dyDescent="0.25">
      <c r="A362" s="2" t="str">
        <f>HYPERLINK("normal/O157097702.jpg", "O157097702")</f>
        <v>O157097702</v>
      </c>
    </row>
    <row r="363" spans="1:1" x14ac:dyDescent="0.25">
      <c r="A363" s="2" t="str">
        <f>HYPERLINK("normal/O220409854.png", "O220409854")</f>
        <v>O220409854</v>
      </c>
    </row>
    <row r="364" spans="1:1" x14ac:dyDescent="0.25">
      <c r="A364" s="2" t="str">
        <f>HYPERLINK("normal/O298566834.jpg", "O298566834")</f>
        <v>O298566834</v>
      </c>
    </row>
    <row r="365" spans="1:1" x14ac:dyDescent="0.25">
      <c r="A365" s="2" t="str">
        <f>HYPERLINK("normal/O322568194.jpg", "O322568194")</f>
        <v>O322568194</v>
      </c>
    </row>
    <row r="366" spans="1:1" x14ac:dyDescent="0.25">
      <c r="A366" s="2" t="str">
        <f>HYPERLINK("normal/O419667081.jpg", "O419667081")</f>
        <v>O419667081</v>
      </c>
    </row>
    <row r="367" spans="1:1" x14ac:dyDescent="0.25">
      <c r="A367" s="2" t="str">
        <f>HYPERLINK("normal/O441792391.png", "O441792391")</f>
        <v>O441792391</v>
      </c>
    </row>
    <row r="368" spans="1:1" x14ac:dyDescent="0.25">
      <c r="A368" s="2" t="str">
        <f>HYPERLINK("normal/O487010232.png", "O487010232")</f>
        <v>O487010232</v>
      </c>
    </row>
    <row r="369" spans="1:1" x14ac:dyDescent="0.25">
      <c r="A369" s="2" t="str">
        <f>HYPERLINK("normal/O630710573.png", "O630710573")</f>
        <v>O630710573</v>
      </c>
    </row>
    <row r="370" spans="1:1" x14ac:dyDescent="0.25">
      <c r="A370" s="2" t="str">
        <f>HYPERLINK("normal/O632700851.png", "O632700851")</f>
        <v>O632700851</v>
      </c>
    </row>
    <row r="371" spans="1:1" x14ac:dyDescent="0.25">
      <c r="A371" s="2" t="str">
        <f>HYPERLINK("normal/O751200201.png", "O751200201")</f>
        <v>O751200201</v>
      </c>
    </row>
    <row r="372" spans="1:1" x14ac:dyDescent="0.25">
      <c r="A372" s="2" t="str">
        <f>HYPERLINK("normal/O980557439.png", "O980557439")</f>
        <v>O980557439</v>
      </c>
    </row>
    <row r="373" spans="1:1" x14ac:dyDescent="0.25">
      <c r="A373" s="2" t="str">
        <f>HYPERLINK("normal/O986111461.png", "O986111461")</f>
        <v>O986111461</v>
      </c>
    </row>
    <row r="374" spans="1:1" x14ac:dyDescent="0.25">
      <c r="A374" s="2" t="str">
        <f>HYPERLINK("normal/P014307709.png", "P014307709")</f>
        <v>P014307709</v>
      </c>
    </row>
    <row r="375" spans="1:1" x14ac:dyDescent="0.25">
      <c r="A375" s="2" t="str">
        <f>HYPERLINK("normal/P077596868.jpg", "P077596868")</f>
        <v>P077596868</v>
      </c>
    </row>
    <row r="376" spans="1:1" x14ac:dyDescent="0.25">
      <c r="A376" s="2" t="str">
        <f>HYPERLINK("normal/P103041345.jpg", "P103041345")</f>
        <v>P103041345</v>
      </c>
    </row>
    <row r="377" spans="1:1" x14ac:dyDescent="0.25">
      <c r="A377" s="2" t="str">
        <f>HYPERLINK("normal/P109325723.jpg", "P109325723")</f>
        <v>P109325723</v>
      </c>
    </row>
    <row r="378" spans="1:1" x14ac:dyDescent="0.25">
      <c r="A378" s="2" t="str">
        <f>HYPERLINK("normal/P139644606.png", "P139644606")</f>
        <v>P139644606</v>
      </c>
    </row>
    <row r="379" spans="1:1" x14ac:dyDescent="0.25">
      <c r="A379" s="2" t="str">
        <f>HYPERLINK("normal/P152354195.jpg", "P152354195")</f>
        <v>P152354195</v>
      </c>
    </row>
    <row r="380" spans="1:1" x14ac:dyDescent="0.25">
      <c r="A380" s="2" t="str">
        <f>HYPERLINK("normal/P173755552.jpg", "P173755552")</f>
        <v>P173755552</v>
      </c>
    </row>
    <row r="381" spans="1:1" x14ac:dyDescent="0.25">
      <c r="A381" s="2" t="str">
        <f>HYPERLINK("normal/P251698976.jpg", "P251698976")</f>
        <v>P251698976</v>
      </c>
    </row>
    <row r="382" spans="1:1" x14ac:dyDescent="0.25">
      <c r="A382" s="2" t="str">
        <f>HYPERLINK("normal/P290222457.png", "P290222457")</f>
        <v>P290222457</v>
      </c>
    </row>
    <row r="383" spans="1:1" x14ac:dyDescent="0.25">
      <c r="A383" s="2" t="str">
        <f>HYPERLINK("normal/P309780730.jpg", "P309780730")</f>
        <v>P309780730</v>
      </c>
    </row>
    <row r="384" spans="1:1" x14ac:dyDescent="0.25">
      <c r="A384" s="2" t="str">
        <f>HYPERLINK("normal/P317669832.jpg", "P317669832")</f>
        <v>P317669832</v>
      </c>
    </row>
    <row r="385" spans="1:1" x14ac:dyDescent="0.25">
      <c r="A385" s="2" t="str">
        <f>HYPERLINK("normal/P358353667.jpg", "P358353667")</f>
        <v>P358353667</v>
      </c>
    </row>
    <row r="386" spans="1:1" x14ac:dyDescent="0.25">
      <c r="A386" s="2" t="str">
        <f>HYPERLINK("normal/P412015079.png", "P412015079")</f>
        <v>P412015079</v>
      </c>
    </row>
    <row r="387" spans="1:1" x14ac:dyDescent="0.25">
      <c r="A387" s="2" t="str">
        <f>HYPERLINK("normal/P524147305.jpg", "P524147305")</f>
        <v>P524147305</v>
      </c>
    </row>
    <row r="388" spans="1:1" x14ac:dyDescent="0.25">
      <c r="A388" s="2" t="str">
        <f>HYPERLINK("normal/P581489252.png", "P581489252")</f>
        <v>P581489252</v>
      </c>
    </row>
    <row r="389" spans="1:1" x14ac:dyDescent="0.25">
      <c r="A389" s="2" t="str">
        <f>HYPERLINK("normal/P586161877.png", "P586161877")</f>
        <v>P586161877</v>
      </c>
    </row>
    <row r="390" spans="1:1" x14ac:dyDescent="0.25">
      <c r="A390" s="2" t="str">
        <f>HYPERLINK("normal/P620884132.jpg", "P620884132")</f>
        <v>P620884132</v>
      </c>
    </row>
    <row r="391" spans="1:1" x14ac:dyDescent="0.25">
      <c r="A391" s="2" t="str">
        <f>HYPERLINK("normal/P633078169.png", "P633078169")</f>
        <v>P633078169</v>
      </c>
    </row>
    <row r="392" spans="1:1" x14ac:dyDescent="0.25">
      <c r="A392" s="2" t="str">
        <f>HYPERLINK("normal/P650744599.png", "P650744599")</f>
        <v>P650744599</v>
      </c>
    </row>
    <row r="393" spans="1:1" x14ac:dyDescent="0.25">
      <c r="A393" s="2" t="str">
        <f>HYPERLINK("normal/P673409595.jpg", "P673409595")</f>
        <v>P673409595</v>
      </c>
    </row>
    <row r="394" spans="1:1" x14ac:dyDescent="0.25">
      <c r="A394" s="2" t="str">
        <f>HYPERLINK("normal/P702361834.png", "P702361834")</f>
        <v>P702361834</v>
      </c>
    </row>
    <row r="395" spans="1:1" x14ac:dyDescent="0.25">
      <c r="A395" s="2" t="str">
        <f>HYPERLINK("normal/P710679956.jpg", "P710679956")</f>
        <v>P710679956</v>
      </c>
    </row>
    <row r="396" spans="1:1" x14ac:dyDescent="0.25">
      <c r="A396" s="2" t="str">
        <f>HYPERLINK("normal/P753577335.jpg", "P753577335")</f>
        <v>P753577335</v>
      </c>
    </row>
    <row r="397" spans="1:1" x14ac:dyDescent="0.25">
      <c r="A397" s="2" t="str">
        <f>HYPERLINK("normal/P805547056.png", "P805547056")</f>
        <v>P805547056</v>
      </c>
    </row>
    <row r="398" spans="1:1" x14ac:dyDescent="0.25">
      <c r="A398" s="2" t="str">
        <f>HYPERLINK("normal/P847075179.png", "P847075179")</f>
        <v>P847075179</v>
      </c>
    </row>
    <row r="399" spans="1:1" x14ac:dyDescent="0.25">
      <c r="A399" s="2" t="str">
        <f>HYPERLINK("normal/P877464609.jpg", "P877464609")</f>
        <v>P877464609</v>
      </c>
    </row>
    <row r="400" spans="1:1" x14ac:dyDescent="0.25">
      <c r="A400" s="2" t="str">
        <f>HYPERLINK("normal/P924496644.jpg", "P924496644")</f>
        <v>P924496644</v>
      </c>
    </row>
    <row r="401" spans="1:1" x14ac:dyDescent="0.25">
      <c r="A401" s="2" t="str">
        <f>HYPERLINK("normal/P935280347.png", "P935280347")</f>
        <v>P935280347</v>
      </c>
    </row>
    <row r="402" spans="1:1" x14ac:dyDescent="0.25">
      <c r="A402" s="2" t="str">
        <f>HYPERLINK("normal/P951922781.jpg", "P951922781")</f>
        <v>P951922781</v>
      </c>
    </row>
    <row r="403" spans="1:1" x14ac:dyDescent="0.25">
      <c r="A403" s="2" t="str">
        <f>HYPERLINK("normal/Q001171316.jpg", "Q001171316")</f>
        <v>Q001171316</v>
      </c>
    </row>
    <row r="404" spans="1:1" x14ac:dyDescent="0.25">
      <c r="A404" s="2" t="str">
        <f>HYPERLINK("normal/Q004601969.png", "Q004601969")</f>
        <v>Q004601969</v>
      </c>
    </row>
    <row r="405" spans="1:1" x14ac:dyDescent="0.25">
      <c r="A405" s="2" t="str">
        <f>HYPERLINK("normal/Q014040601.jpg", "Q014040601")</f>
        <v>Q014040601</v>
      </c>
    </row>
    <row r="406" spans="1:1" x14ac:dyDescent="0.25">
      <c r="A406" s="2" t="str">
        <f>HYPERLINK("normal/Q023505006.png", "Q023505006")</f>
        <v>Q023505006</v>
      </c>
    </row>
    <row r="407" spans="1:1" x14ac:dyDescent="0.25">
      <c r="A407" s="2" t="str">
        <f>HYPERLINK("normal/Q034838427.png", "Q034838427")</f>
        <v>Q034838427</v>
      </c>
    </row>
    <row r="408" spans="1:1" x14ac:dyDescent="0.25">
      <c r="A408" s="2" t="str">
        <f>HYPERLINK("normal/Q045227254.png", "Q045227254")</f>
        <v>Q045227254</v>
      </c>
    </row>
    <row r="409" spans="1:1" x14ac:dyDescent="0.25">
      <c r="A409" s="2" t="str">
        <f>HYPERLINK("normal/Q089303100.png", "Q089303100")</f>
        <v>Q089303100</v>
      </c>
    </row>
    <row r="410" spans="1:1" x14ac:dyDescent="0.25">
      <c r="A410" s="2" t="str">
        <f>HYPERLINK("normal/Q176154775.png", "Q176154775")</f>
        <v>Q176154775</v>
      </c>
    </row>
    <row r="411" spans="1:1" x14ac:dyDescent="0.25">
      <c r="A411" s="2" t="str">
        <f>HYPERLINK("normal/Q188331679.jpg", "Q188331679")</f>
        <v>Q188331679</v>
      </c>
    </row>
    <row r="412" spans="1:1" x14ac:dyDescent="0.25">
      <c r="A412" s="2" t="str">
        <f>HYPERLINK("normal/Q204993219.jpg", "Q204993219")</f>
        <v>Q204993219</v>
      </c>
    </row>
    <row r="413" spans="1:1" x14ac:dyDescent="0.25">
      <c r="A413" s="2" t="str">
        <f>HYPERLINK("normal/Q206157675.jpg", "Q206157675")</f>
        <v>Q206157675</v>
      </c>
    </row>
    <row r="414" spans="1:1" x14ac:dyDescent="0.25">
      <c r="A414" s="2" t="str">
        <f>HYPERLINK("normal/Q210499801.jpg", "Q210499801")</f>
        <v>Q210499801</v>
      </c>
    </row>
    <row r="415" spans="1:1" x14ac:dyDescent="0.25">
      <c r="A415" s="2" t="str">
        <f>HYPERLINK("normal/Q254478520.png", "Q254478520")</f>
        <v>Q254478520</v>
      </c>
    </row>
    <row r="416" spans="1:1" x14ac:dyDescent="0.25">
      <c r="A416" s="2" t="str">
        <f>HYPERLINK("normal/Q411312959.jpg", "Q411312959")</f>
        <v>Q411312959</v>
      </c>
    </row>
    <row r="417" spans="1:1" x14ac:dyDescent="0.25">
      <c r="A417" s="2" t="str">
        <f>HYPERLINK("normal/Q446756391.png", "Q446756391")</f>
        <v>Q446756391</v>
      </c>
    </row>
    <row r="418" spans="1:1" x14ac:dyDescent="0.25">
      <c r="A418" s="2" t="str">
        <f>HYPERLINK("normal/Q503086188.png", "Q503086188")</f>
        <v>Q503086188</v>
      </c>
    </row>
    <row r="419" spans="1:1" x14ac:dyDescent="0.25">
      <c r="A419" s="2" t="str">
        <f>HYPERLINK("normal/Q536432858.png", "Q536432858")</f>
        <v>Q536432858</v>
      </c>
    </row>
    <row r="420" spans="1:1" x14ac:dyDescent="0.25">
      <c r="A420" s="2" t="str">
        <f>HYPERLINK("normal/Q551238289.jpg", "Q551238289")</f>
        <v>Q551238289</v>
      </c>
    </row>
    <row r="421" spans="1:1" x14ac:dyDescent="0.25">
      <c r="A421" s="2" t="str">
        <f>HYPERLINK("normal/Q585540323.jpg", "Q585540323")</f>
        <v>Q585540323</v>
      </c>
    </row>
    <row r="422" spans="1:1" x14ac:dyDescent="0.25">
      <c r="A422" s="2" t="str">
        <f>HYPERLINK("normal/Q671070562.png", "Q671070562")</f>
        <v>Q671070562</v>
      </c>
    </row>
    <row r="423" spans="1:1" x14ac:dyDescent="0.25">
      <c r="A423" s="2" t="str">
        <f>HYPERLINK("normal/Q689508456.png", "Q689508456")</f>
        <v>Q689508456</v>
      </c>
    </row>
    <row r="424" spans="1:1" x14ac:dyDescent="0.25">
      <c r="A424" s="2" t="str">
        <f>HYPERLINK("normal/Q708747610.png", "Q708747610")</f>
        <v>Q708747610</v>
      </c>
    </row>
    <row r="425" spans="1:1" x14ac:dyDescent="0.25">
      <c r="A425" s="2" t="str">
        <f>HYPERLINK("normal/Q711626642.png", "Q711626642")</f>
        <v>Q711626642</v>
      </c>
    </row>
    <row r="426" spans="1:1" x14ac:dyDescent="0.25">
      <c r="A426" s="2" t="str">
        <f>HYPERLINK("normal/Q828149459.png", "Q828149459")</f>
        <v>Q828149459</v>
      </c>
    </row>
    <row r="427" spans="1:1" x14ac:dyDescent="0.25">
      <c r="A427" s="2" t="str">
        <f>HYPERLINK("normal/Q845592715.jpg", "Q845592715")</f>
        <v>Q845592715</v>
      </c>
    </row>
    <row r="428" spans="1:1" x14ac:dyDescent="0.25">
      <c r="A428" s="2" t="str">
        <f>HYPERLINK("normal/Q926243855.jpg", "Q926243855")</f>
        <v>Q926243855</v>
      </c>
    </row>
    <row r="429" spans="1:1" x14ac:dyDescent="0.25">
      <c r="A429" s="2" t="str">
        <f>HYPERLINK("normal/Q966313680.png", "Q966313680")</f>
        <v>Q966313680</v>
      </c>
    </row>
    <row r="430" spans="1:1" x14ac:dyDescent="0.25">
      <c r="A430" s="2" t="str">
        <f>HYPERLINK("normal/R017732606.png", "R017732606")</f>
        <v>R017732606</v>
      </c>
    </row>
    <row r="431" spans="1:1" x14ac:dyDescent="0.25">
      <c r="A431" s="2" t="str">
        <f>HYPERLINK("normal/R049443437.png", "R049443437")</f>
        <v>R049443437</v>
      </c>
    </row>
    <row r="432" spans="1:1" x14ac:dyDescent="0.25">
      <c r="A432" s="2" t="str">
        <f>HYPERLINK("normal/R060057922.png", "R060057922")</f>
        <v>R060057922</v>
      </c>
    </row>
    <row r="433" spans="1:1" x14ac:dyDescent="0.25">
      <c r="A433" s="2" t="str">
        <f>HYPERLINK("normal/R066827989.jpg", "R066827989")</f>
        <v>R066827989</v>
      </c>
    </row>
    <row r="434" spans="1:1" x14ac:dyDescent="0.25">
      <c r="A434" s="2" t="str">
        <f>HYPERLINK("normal/R079112011.jpg", "R079112011")</f>
        <v>R079112011</v>
      </c>
    </row>
    <row r="435" spans="1:1" x14ac:dyDescent="0.25">
      <c r="A435" s="2" t="str">
        <f>HYPERLINK("normal/R102152998.jpg", "R102152998")</f>
        <v>R102152998</v>
      </c>
    </row>
    <row r="436" spans="1:1" x14ac:dyDescent="0.25">
      <c r="A436" s="2" t="str">
        <f>HYPERLINK("normal/R155561844.png", "R155561844")</f>
        <v>R155561844</v>
      </c>
    </row>
    <row r="437" spans="1:1" x14ac:dyDescent="0.25">
      <c r="A437" s="2" t="str">
        <f>HYPERLINK("normal/R157069892.jpg", "R157069892")</f>
        <v>R157069892</v>
      </c>
    </row>
    <row r="438" spans="1:1" x14ac:dyDescent="0.25">
      <c r="A438" s="2" t="str">
        <f>HYPERLINK("normal/R201538596.png", "R201538596")</f>
        <v>R201538596</v>
      </c>
    </row>
    <row r="439" spans="1:1" x14ac:dyDescent="0.25">
      <c r="A439" s="2" t="str">
        <f>HYPERLINK("normal/R225837875.png", "R225837875")</f>
        <v>R225837875</v>
      </c>
    </row>
    <row r="440" spans="1:1" x14ac:dyDescent="0.25">
      <c r="A440" s="2" t="str">
        <f>HYPERLINK("normal/R263910160.jpg", "R263910160")</f>
        <v>R263910160</v>
      </c>
    </row>
    <row r="441" spans="1:1" x14ac:dyDescent="0.25">
      <c r="A441" s="2" t="str">
        <f>HYPERLINK("normal/R278710314.jpg", "R278710314")</f>
        <v>R278710314</v>
      </c>
    </row>
    <row r="442" spans="1:1" x14ac:dyDescent="0.25">
      <c r="A442" s="2" t="str">
        <f>HYPERLINK("normal/R321594161.png", "R321594161")</f>
        <v>R321594161</v>
      </c>
    </row>
    <row r="443" spans="1:1" x14ac:dyDescent="0.25">
      <c r="A443" s="2" t="str">
        <f>HYPERLINK("normal/R369790821.png", "R369790821")</f>
        <v>R369790821</v>
      </c>
    </row>
    <row r="444" spans="1:1" x14ac:dyDescent="0.25">
      <c r="A444" s="2" t="str">
        <f>HYPERLINK("normal/R422237333.jpg", "R422237333")</f>
        <v>R422237333</v>
      </c>
    </row>
    <row r="445" spans="1:1" x14ac:dyDescent="0.25">
      <c r="A445" s="2" t="str">
        <f>HYPERLINK("normal/R452860296.jpg", "R452860296")</f>
        <v>R452860296</v>
      </c>
    </row>
    <row r="446" spans="1:1" x14ac:dyDescent="0.25">
      <c r="A446" s="2" t="str">
        <f>HYPERLINK("normal/R573825621.jpg", "R573825621")</f>
        <v>R573825621</v>
      </c>
    </row>
    <row r="447" spans="1:1" x14ac:dyDescent="0.25">
      <c r="A447" s="2" t="str">
        <f>HYPERLINK("normal/R591039570.png", "R591039570")</f>
        <v>R591039570</v>
      </c>
    </row>
    <row r="448" spans="1:1" x14ac:dyDescent="0.25">
      <c r="A448" s="2" t="str">
        <f>HYPERLINK("normal/R610376464.png", "R610376464")</f>
        <v>R610376464</v>
      </c>
    </row>
    <row r="449" spans="1:1" x14ac:dyDescent="0.25">
      <c r="A449" s="2" t="str">
        <f>HYPERLINK("normal/R613846282.jpg", "R613846282")</f>
        <v>R613846282</v>
      </c>
    </row>
    <row r="450" spans="1:1" x14ac:dyDescent="0.25">
      <c r="A450" s="2" t="str">
        <f>HYPERLINK("normal/R709161727.png", "R709161727")</f>
        <v>R709161727</v>
      </c>
    </row>
    <row r="451" spans="1:1" x14ac:dyDescent="0.25">
      <c r="A451" s="2" t="str">
        <f>HYPERLINK("normal/R724502131.png", "R724502131")</f>
        <v>R724502131</v>
      </c>
    </row>
    <row r="452" spans="1:1" x14ac:dyDescent="0.25">
      <c r="A452" s="2" t="str">
        <f>HYPERLINK("normal/R791741976.png", "R791741976")</f>
        <v>R791741976</v>
      </c>
    </row>
    <row r="453" spans="1:1" x14ac:dyDescent="0.25">
      <c r="A453" s="2" t="str">
        <f>HYPERLINK("normal/R885728804.png", "R885728804")</f>
        <v>R885728804</v>
      </c>
    </row>
    <row r="454" spans="1:1" x14ac:dyDescent="0.25">
      <c r="A454" s="2" t="str">
        <f>HYPERLINK("normal/R927478141.jpg", "R927478141")</f>
        <v>R927478141</v>
      </c>
    </row>
    <row r="455" spans="1:1" x14ac:dyDescent="0.25">
      <c r="A455" s="2" t="str">
        <f>HYPERLINK("normal/R957859544.png", "R957859544")</f>
        <v>R957859544</v>
      </c>
    </row>
    <row r="456" spans="1:1" x14ac:dyDescent="0.25">
      <c r="A456" s="2" t="str">
        <f>HYPERLINK("normal/S033086110.jpg", "S033086110")</f>
        <v>S033086110</v>
      </c>
    </row>
    <row r="457" spans="1:1" x14ac:dyDescent="0.25">
      <c r="A457" s="2" t="str">
        <f>HYPERLINK("normal/S053191499.png", "S053191499")</f>
        <v>S053191499</v>
      </c>
    </row>
    <row r="458" spans="1:1" x14ac:dyDescent="0.25">
      <c r="A458" s="2" t="str">
        <f>HYPERLINK("normal/S062960255.png", "S062960255")</f>
        <v>S062960255</v>
      </c>
    </row>
    <row r="459" spans="1:1" x14ac:dyDescent="0.25">
      <c r="A459" s="2" t="str">
        <f>HYPERLINK("normal/S065834124.png", "S065834124")</f>
        <v>S065834124</v>
      </c>
    </row>
    <row r="460" spans="1:1" x14ac:dyDescent="0.25">
      <c r="A460" s="2" t="str">
        <f>HYPERLINK("normal/S096362005.jpg", "S096362005")</f>
        <v>S096362005</v>
      </c>
    </row>
    <row r="461" spans="1:1" x14ac:dyDescent="0.25">
      <c r="A461" s="2" t="str">
        <f>HYPERLINK("normal/S131786827.png", "S131786827")</f>
        <v>S131786827</v>
      </c>
    </row>
    <row r="462" spans="1:1" x14ac:dyDescent="0.25">
      <c r="A462" s="2" t="str">
        <f>HYPERLINK("normal/S141201235.jpg", "S141201235")</f>
        <v>S141201235</v>
      </c>
    </row>
    <row r="463" spans="1:1" x14ac:dyDescent="0.25">
      <c r="A463" s="2" t="str">
        <f>HYPERLINK("normal/S154200054.png", "S154200054")</f>
        <v>S154200054</v>
      </c>
    </row>
    <row r="464" spans="1:1" x14ac:dyDescent="0.25">
      <c r="A464" s="2" t="str">
        <f>HYPERLINK("normal/S173929509.jpg", "S173929509")</f>
        <v>S173929509</v>
      </c>
    </row>
    <row r="465" spans="1:1" x14ac:dyDescent="0.25">
      <c r="A465" s="2" t="str">
        <f>HYPERLINK("normal/S210842993.jpg", "S210842993")</f>
        <v>S210842993</v>
      </c>
    </row>
    <row r="466" spans="1:1" x14ac:dyDescent="0.25">
      <c r="A466" s="2" t="str">
        <f>HYPERLINK("normal/S217113276.png", "S217113276")</f>
        <v>S217113276</v>
      </c>
    </row>
    <row r="467" spans="1:1" x14ac:dyDescent="0.25">
      <c r="A467" s="2" t="str">
        <f>HYPERLINK("normal/S229225968.png", "S229225968")</f>
        <v>S229225968</v>
      </c>
    </row>
    <row r="468" spans="1:1" x14ac:dyDescent="0.25">
      <c r="A468" s="2" t="str">
        <f>HYPERLINK("normal/S239582632.jpg", "S239582632")</f>
        <v>S239582632</v>
      </c>
    </row>
    <row r="469" spans="1:1" x14ac:dyDescent="0.25">
      <c r="A469" s="2" t="str">
        <f>HYPERLINK("normal/S266216242.jpg", "S266216242")</f>
        <v>S266216242</v>
      </c>
    </row>
    <row r="470" spans="1:1" x14ac:dyDescent="0.25">
      <c r="A470" s="2" t="str">
        <f>HYPERLINK("normal/S467519012.jpg", "S467519012")</f>
        <v>S467519012</v>
      </c>
    </row>
    <row r="471" spans="1:1" x14ac:dyDescent="0.25">
      <c r="A471" s="2" t="str">
        <f>HYPERLINK("normal/S499031802.jpg", "S499031802")</f>
        <v>S499031802</v>
      </c>
    </row>
    <row r="472" spans="1:1" x14ac:dyDescent="0.25">
      <c r="A472" s="2" t="str">
        <f>HYPERLINK("normal/S550342661.png", "S550342661")</f>
        <v>S550342661</v>
      </c>
    </row>
    <row r="473" spans="1:1" x14ac:dyDescent="0.25">
      <c r="A473" s="2" t="str">
        <f>HYPERLINK("normal/S555918012.jpg", "S555918012")</f>
        <v>S555918012</v>
      </c>
    </row>
    <row r="474" spans="1:1" x14ac:dyDescent="0.25">
      <c r="A474" s="2" t="str">
        <f>HYPERLINK("normal/S612439633.jpg", "S612439633")</f>
        <v>S612439633</v>
      </c>
    </row>
    <row r="475" spans="1:1" x14ac:dyDescent="0.25">
      <c r="A475" s="2" t="str">
        <f>HYPERLINK("normal/S624054407.png", "S624054407")</f>
        <v>S624054407</v>
      </c>
    </row>
    <row r="476" spans="1:1" x14ac:dyDescent="0.25">
      <c r="A476" s="2" t="str">
        <f>HYPERLINK("normal/S643208257.jpg", "S643208257")</f>
        <v>S643208257</v>
      </c>
    </row>
    <row r="477" spans="1:1" x14ac:dyDescent="0.25">
      <c r="A477" s="2" t="str">
        <f>HYPERLINK("normal/S681551526.png", "S681551526")</f>
        <v>S681551526</v>
      </c>
    </row>
    <row r="478" spans="1:1" x14ac:dyDescent="0.25">
      <c r="A478" s="2" t="str">
        <f>HYPERLINK("normal/S688794910.png", "S688794910")</f>
        <v>S688794910</v>
      </c>
    </row>
    <row r="479" spans="1:1" x14ac:dyDescent="0.25">
      <c r="A479" s="2" t="str">
        <f>HYPERLINK("normal/S728812103.png", "S728812103")</f>
        <v>S728812103</v>
      </c>
    </row>
    <row r="480" spans="1:1" x14ac:dyDescent="0.25">
      <c r="A480" s="2" t="str">
        <f>HYPERLINK("normal/S734786666.jpg", "S734786666")</f>
        <v>S734786666</v>
      </c>
    </row>
    <row r="481" spans="1:1" x14ac:dyDescent="0.25">
      <c r="A481" s="2" t="str">
        <f>HYPERLINK("normal/S739694320.jpg", "S739694320")</f>
        <v>S739694320</v>
      </c>
    </row>
    <row r="482" spans="1:1" x14ac:dyDescent="0.25">
      <c r="A482" s="2" t="str">
        <f>HYPERLINK("normal/S815301098.jpg", "S815301098")</f>
        <v>S815301098</v>
      </c>
    </row>
    <row r="483" spans="1:1" x14ac:dyDescent="0.25">
      <c r="A483" s="2" t="str">
        <f>HYPERLINK("normal/S880921023.jpg", "S880921023")</f>
        <v>S880921023</v>
      </c>
    </row>
    <row r="484" spans="1:1" x14ac:dyDescent="0.25">
      <c r="A484" s="2" t="str">
        <f>HYPERLINK("normal/T005121455.jpg", "T005121455")</f>
        <v>T005121455</v>
      </c>
    </row>
    <row r="485" spans="1:1" x14ac:dyDescent="0.25">
      <c r="A485" s="2" t="str">
        <f>HYPERLINK("normal/T107253330.jpg", "T107253330")</f>
        <v>T107253330</v>
      </c>
    </row>
    <row r="486" spans="1:1" x14ac:dyDescent="0.25">
      <c r="A486" s="2" t="str">
        <f>HYPERLINK("normal/T203558651.png", "T203558651")</f>
        <v>T203558651</v>
      </c>
    </row>
    <row r="487" spans="1:1" x14ac:dyDescent="0.25">
      <c r="A487" s="2" t="str">
        <f>HYPERLINK("normal/T292931620.png", "T292931620")</f>
        <v>T292931620</v>
      </c>
    </row>
    <row r="488" spans="1:1" x14ac:dyDescent="0.25">
      <c r="A488" s="2" t="str">
        <f>HYPERLINK("normal/T294449646.png", "T294449646")</f>
        <v>T294449646</v>
      </c>
    </row>
    <row r="489" spans="1:1" x14ac:dyDescent="0.25">
      <c r="A489" s="2" t="str">
        <f>HYPERLINK("normal/T317471775.jpg", "T317471775")</f>
        <v>T317471775</v>
      </c>
    </row>
    <row r="490" spans="1:1" x14ac:dyDescent="0.25">
      <c r="A490" s="2" t="str">
        <f>HYPERLINK("normal/T325350171.jpg", "T325350171")</f>
        <v>T325350171</v>
      </c>
    </row>
    <row r="491" spans="1:1" x14ac:dyDescent="0.25">
      <c r="A491" s="2" t="str">
        <f>HYPERLINK("normal/T365770813.jpg", "T365770813")</f>
        <v>T365770813</v>
      </c>
    </row>
    <row r="492" spans="1:1" x14ac:dyDescent="0.25">
      <c r="A492" s="2" t="str">
        <f>HYPERLINK("normal/T394804564.jpg", "T394804564")</f>
        <v>T394804564</v>
      </c>
    </row>
    <row r="493" spans="1:1" x14ac:dyDescent="0.25">
      <c r="A493" s="2" t="str">
        <f>HYPERLINK("normal/T409360526.jpg", "T409360526")</f>
        <v>T409360526</v>
      </c>
    </row>
    <row r="494" spans="1:1" x14ac:dyDescent="0.25">
      <c r="A494" s="2" t="str">
        <f>HYPERLINK("normal/T559374191.png", "T559374191")</f>
        <v>T559374191</v>
      </c>
    </row>
    <row r="495" spans="1:1" x14ac:dyDescent="0.25">
      <c r="A495" s="2" t="str">
        <f>HYPERLINK("normal/T628270796.png", "T628270796")</f>
        <v>T628270796</v>
      </c>
    </row>
    <row r="496" spans="1:1" x14ac:dyDescent="0.25">
      <c r="A496" s="2" t="str">
        <f>HYPERLINK("normal/T719591129.png", "T719591129")</f>
        <v>T719591129</v>
      </c>
    </row>
    <row r="497" spans="1:1" x14ac:dyDescent="0.25">
      <c r="A497" s="2" t="str">
        <f>HYPERLINK("normal/T790939949.png", "T790939949")</f>
        <v>T790939949</v>
      </c>
    </row>
    <row r="498" spans="1:1" x14ac:dyDescent="0.25">
      <c r="A498" s="2" t="str">
        <f>HYPERLINK("normal/T803993383.jpg", "T803993383")</f>
        <v>T803993383</v>
      </c>
    </row>
    <row r="499" spans="1:1" x14ac:dyDescent="0.25">
      <c r="A499" s="2" t="str">
        <f>HYPERLINK("normal/T861697359.jpg", "T861697359")</f>
        <v>T861697359</v>
      </c>
    </row>
    <row r="500" spans="1:1" x14ac:dyDescent="0.25">
      <c r="A500" s="2" t="str">
        <f>HYPERLINK("normal/U003243628.png", "U003243628")</f>
        <v>U003243628</v>
      </c>
    </row>
    <row r="501" spans="1:1" x14ac:dyDescent="0.25">
      <c r="A501" s="2" t="str">
        <f>HYPERLINK("normal/U014407769.png", "U014407769")</f>
        <v>U014407769</v>
      </c>
    </row>
    <row r="502" spans="1:1" x14ac:dyDescent="0.25">
      <c r="A502" s="2" t="str">
        <f>HYPERLINK("normal/U019585505.png", "U019585505")</f>
        <v>U019585505</v>
      </c>
    </row>
    <row r="503" spans="1:1" x14ac:dyDescent="0.25">
      <c r="A503" s="2" t="str">
        <f>HYPERLINK("normal/U080431366.png", "U080431366")</f>
        <v>U080431366</v>
      </c>
    </row>
    <row r="504" spans="1:1" x14ac:dyDescent="0.25">
      <c r="A504" s="2" t="str">
        <f>HYPERLINK("normal/U110995789.png", "U110995789")</f>
        <v>U110995789</v>
      </c>
    </row>
    <row r="505" spans="1:1" x14ac:dyDescent="0.25">
      <c r="A505" s="2" t="str">
        <f>HYPERLINK("normal/U174554389.jpg", "U174554389")</f>
        <v>U174554389</v>
      </c>
    </row>
    <row r="506" spans="1:1" x14ac:dyDescent="0.25">
      <c r="A506" s="2" t="str">
        <f>HYPERLINK("normal/U197503233.jpg", "U197503233")</f>
        <v>U197503233</v>
      </c>
    </row>
    <row r="507" spans="1:1" x14ac:dyDescent="0.25">
      <c r="A507" s="2" t="str">
        <f>HYPERLINK("normal/U266130114.png", "U266130114")</f>
        <v>U266130114</v>
      </c>
    </row>
    <row r="508" spans="1:1" x14ac:dyDescent="0.25">
      <c r="A508" s="2" t="str">
        <f>HYPERLINK("normal/U281586820.jpg", "U281586820")</f>
        <v>U281586820</v>
      </c>
    </row>
    <row r="509" spans="1:1" x14ac:dyDescent="0.25">
      <c r="A509" s="2" t="str">
        <f>HYPERLINK("normal/U324866704.jpg", "U324866704")</f>
        <v>U324866704</v>
      </c>
    </row>
    <row r="510" spans="1:1" x14ac:dyDescent="0.25">
      <c r="A510" s="2" t="str">
        <f>HYPERLINK("normal/U374416016.jpg", "U374416016")</f>
        <v>U374416016</v>
      </c>
    </row>
    <row r="511" spans="1:1" x14ac:dyDescent="0.25">
      <c r="A511" s="2" t="str">
        <f>HYPERLINK("normal/U404224388.jpg", "U404224388")</f>
        <v>U404224388</v>
      </c>
    </row>
    <row r="512" spans="1:1" x14ac:dyDescent="0.25">
      <c r="A512" s="2" t="str">
        <f>HYPERLINK("normal/U504296655.png", "U504296655")</f>
        <v>U504296655</v>
      </c>
    </row>
    <row r="513" spans="1:1" x14ac:dyDescent="0.25">
      <c r="A513" s="2" t="str">
        <f>HYPERLINK("normal/U541371480.jpg", "U541371480")</f>
        <v>U541371480</v>
      </c>
    </row>
    <row r="514" spans="1:1" x14ac:dyDescent="0.25">
      <c r="A514" s="2" t="str">
        <f>HYPERLINK("normal/U556153398.png", "U556153398")</f>
        <v>U556153398</v>
      </c>
    </row>
    <row r="515" spans="1:1" x14ac:dyDescent="0.25">
      <c r="A515" s="2" t="str">
        <f>HYPERLINK("normal/U674861171.jpg", "U674861171")</f>
        <v>U674861171</v>
      </c>
    </row>
    <row r="516" spans="1:1" x14ac:dyDescent="0.25">
      <c r="A516" s="2" t="str">
        <f>HYPERLINK("normal/U693071709.png", "U693071709")</f>
        <v>U693071709</v>
      </c>
    </row>
    <row r="517" spans="1:1" x14ac:dyDescent="0.25">
      <c r="A517" s="2" t="str">
        <f>HYPERLINK("normal/U732474075.png", "U732474075")</f>
        <v>U732474075</v>
      </c>
    </row>
    <row r="518" spans="1:1" x14ac:dyDescent="0.25">
      <c r="A518" s="2" t="str">
        <f>HYPERLINK("normal/U763546634.png", "U763546634")</f>
        <v>U763546634</v>
      </c>
    </row>
    <row r="519" spans="1:1" x14ac:dyDescent="0.25">
      <c r="A519" s="2" t="str">
        <f>HYPERLINK("normal/U868499557.jpg", "U868499557")</f>
        <v>U868499557</v>
      </c>
    </row>
    <row r="520" spans="1:1" x14ac:dyDescent="0.25">
      <c r="A520" s="2" t="str">
        <f>HYPERLINK("normal/U890550837.png", "U890550837")</f>
        <v>U890550837</v>
      </c>
    </row>
    <row r="521" spans="1:1" x14ac:dyDescent="0.25">
      <c r="A521" s="2" t="str">
        <f>HYPERLINK("normal/U920613066.jpg", "U920613066")</f>
        <v>U920613066</v>
      </c>
    </row>
    <row r="522" spans="1:1" x14ac:dyDescent="0.25">
      <c r="A522" s="2" t="str">
        <f>HYPERLINK("normal/U949379129.png", "U949379129")</f>
        <v>U949379129</v>
      </c>
    </row>
    <row r="523" spans="1:1" x14ac:dyDescent="0.25">
      <c r="A523" s="2" t="str">
        <f>HYPERLINK("normal/U952112222.png", "U952112222")</f>
        <v>U952112222</v>
      </c>
    </row>
    <row r="524" spans="1:1" x14ac:dyDescent="0.25">
      <c r="A524" s="2" t="str">
        <f>HYPERLINK("normal/V078060627.jpg", "V078060627")</f>
        <v>V078060627</v>
      </c>
    </row>
    <row r="525" spans="1:1" x14ac:dyDescent="0.25">
      <c r="A525" s="2" t="str">
        <f>HYPERLINK("normal/V121630945.png", "V121630945")</f>
        <v>V121630945</v>
      </c>
    </row>
    <row r="526" spans="1:1" x14ac:dyDescent="0.25">
      <c r="A526" s="2" t="str">
        <f>HYPERLINK("normal/V142733260.png", "V142733260")</f>
        <v>V142733260</v>
      </c>
    </row>
    <row r="527" spans="1:1" x14ac:dyDescent="0.25">
      <c r="A527" s="2" t="str">
        <f>HYPERLINK("normal/V183191591.jpg", "V183191591")</f>
        <v>V183191591</v>
      </c>
    </row>
    <row r="528" spans="1:1" x14ac:dyDescent="0.25">
      <c r="A528" s="2" t="str">
        <f>HYPERLINK("normal/V194261309.jpg", "V194261309")</f>
        <v>V194261309</v>
      </c>
    </row>
    <row r="529" spans="1:1" x14ac:dyDescent="0.25">
      <c r="A529" s="2" t="str">
        <f>HYPERLINK("normal/V209642213.jpg", "V209642213")</f>
        <v>V209642213</v>
      </c>
    </row>
    <row r="530" spans="1:1" x14ac:dyDescent="0.25">
      <c r="A530" s="2" t="str">
        <f>HYPERLINK("normal/V239248513.png", "V239248513")</f>
        <v>V239248513</v>
      </c>
    </row>
    <row r="531" spans="1:1" x14ac:dyDescent="0.25">
      <c r="A531" s="2" t="str">
        <f>HYPERLINK("normal/V242859061.jpg", "V242859061")</f>
        <v>V242859061</v>
      </c>
    </row>
    <row r="532" spans="1:1" x14ac:dyDescent="0.25">
      <c r="A532" s="2" t="str">
        <f>HYPERLINK("normal/V271528948.png", "V271528948")</f>
        <v>V271528948</v>
      </c>
    </row>
    <row r="533" spans="1:1" x14ac:dyDescent="0.25">
      <c r="A533" s="2" t="str">
        <f>HYPERLINK("normal/V309577953.png", "V309577953")</f>
        <v>V309577953</v>
      </c>
    </row>
    <row r="534" spans="1:1" x14ac:dyDescent="0.25">
      <c r="A534" s="2" t="str">
        <f>HYPERLINK("normal/V335731644.png", "V335731644")</f>
        <v>V335731644</v>
      </c>
    </row>
    <row r="535" spans="1:1" x14ac:dyDescent="0.25">
      <c r="A535" s="2" t="str">
        <f>HYPERLINK("normal/V376976807.png", "V376976807")</f>
        <v>V376976807</v>
      </c>
    </row>
    <row r="536" spans="1:1" x14ac:dyDescent="0.25">
      <c r="A536" s="2" t="str">
        <f>HYPERLINK("normal/V449767038.jpg", "V449767038")</f>
        <v>V449767038</v>
      </c>
    </row>
    <row r="537" spans="1:1" x14ac:dyDescent="0.25">
      <c r="A537" s="2" t="str">
        <f>HYPERLINK("normal/V480916834.jpg", "V480916834")</f>
        <v>V480916834</v>
      </c>
    </row>
    <row r="538" spans="1:1" x14ac:dyDescent="0.25">
      <c r="A538" s="2" t="str">
        <f>HYPERLINK("normal/V486800530.png", "V486800530")</f>
        <v>V486800530</v>
      </c>
    </row>
    <row r="539" spans="1:1" x14ac:dyDescent="0.25">
      <c r="A539" s="2" t="str">
        <f>HYPERLINK("normal/V487471166.jpg", "V487471166")</f>
        <v>V487471166</v>
      </c>
    </row>
    <row r="540" spans="1:1" x14ac:dyDescent="0.25">
      <c r="A540" s="2" t="str">
        <f>HYPERLINK("normal/V528272425.jpg", "V528272425")</f>
        <v>V528272425</v>
      </c>
    </row>
    <row r="541" spans="1:1" x14ac:dyDescent="0.25">
      <c r="A541" s="2" t="str">
        <f>HYPERLINK("normal/V541114971.png", "V541114971")</f>
        <v>V541114971</v>
      </c>
    </row>
    <row r="542" spans="1:1" x14ac:dyDescent="0.25">
      <c r="A542" s="2" t="str">
        <f>HYPERLINK("normal/V567285102.jpg", "V567285102")</f>
        <v>V567285102</v>
      </c>
    </row>
    <row r="543" spans="1:1" x14ac:dyDescent="0.25">
      <c r="A543" s="2" t="str">
        <f>HYPERLINK("normal/V567697079.jpg", "V567697079")</f>
        <v>V567697079</v>
      </c>
    </row>
    <row r="544" spans="1:1" x14ac:dyDescent="0.25">
      <c r="A544" s="2" t="str">
        <f>HYPERLINK("normal/V606761640.png", "V606761640")</f>
        <v>V606761640</v>
      </c>
    </row>
    <row r="545" spans="1:1" x14ac:dyDescent="0.25">
      <c r="A545" s="2" t="str">
        <f>HYPERLINK("normal/V618990452.jpg", "V618990452")</f>
        <v>V618990452</v>
      </c>
    </row>
    <row r="546" spans="1:1" x14ac:dyDescent="0.25">
      <c r="A546" s="2" t="str">
        <f>HYPERLINK("normal/V642442162.jpg", "V642442162")</f>
        <v>V642442162</v>
      </c>
    </row>
    <row r="547" spans="1:1" x14ac:dyDescent="0.25">
      <c r="A547" s="2" t="str">
        <f>HYPERLINK("normal/V663796005.jpg", "V663796005")</f>
        <v>V663796005</v>
      </c>
    </row>
    <row r="548" spans="1:1" x14ac:dyDescent="0.25">
      <c r="A548" s="2" t="str">
        <f>HYPERLINK("normal/V678454072.jpg", "V678454072")</f>
        <v>V678454072</v>
      </c>
    </row>
    <row r="549" spans="1:1" x14ac:dyDescent="0.25">
      <c r="A549" s="2" t="str">
        <f>HYPERLINK("normal/V707605173.png", "V707605173")</f>
        <v>V707605173</v>
      </c>
    </row>
    <row r="550" spans="1:1" x14ac:dyDescent="0.25">
      <c r="A550" s="2" t="str">
        <f>HYPERLINK("normal/V811930228.png", "V811930228")</f>
        <v>V811930228</v>
      </c>
    </row>
    <row r="551" spans="1:1" x14ac:dyDescent="0.25">
      <c r="A551" s="2" t="str">
        <f>HYPERLINK("normal/V813370623.jpg", "V813370623")</f>
        <v>V813370623</v>
      </c>
    </row>
    <row r="552" spans="1:1" x14ac:dyDescent="0.25">
      <c r="A552" s="2" t="str">
        <f>HYPERLINK("normal/V964583127.png", "V964583127")</f>
        <v>V964583127</v>
      </c>
    </row>
    <row r="553" spans="1:1" x14ac:dyDescent="0.25">
      <c r="A553" s="2" t="str">
        <f>HYPERLINK("normal/V976877009.png", "V976877009")</f>
        <v>V976877009</v>
      </c>
    </row>
    <row r="554" spans="1:1" x14ac:dyDescent="0.25">
      <c r="A554" s="2" t="str">
        <f>HYPERLINK("normal/V981106078.jpg", "V981106078")</f>
        <v>V981106078</v>
      </c>
    </row>
    <row r="555" spans="1:1" x14ac:dyDescent="0.25">
      <c r="A555" s="2" t="str">
        <f>HYPERLINK("normal/W022802755.png", "W022802755")</f>
        <v>W022802755</v>
      </c>
    </row>
    <row r="556" spans="1:1" x14ac:dyDescent="0.25">
      <c r="A556" s="2" t="str">
        <f>HYPERLINK("normal/W066410534.jpg", "W066410534")</f>
        <v>W066410534</v>
      </c>
    </row>
    <row r="557" spans="1:1" x14ac:dyDescent="0.25">
      <c r="A557" s="2" t="str">
        <f>HYPERLINK("normal/W105289455.png", "W105289455")</f>
        <v>W105289455</v>
      </c>
    </row>
    <row r="558" spans="1:1" x14ac:dyDescent="0.25">
      <c r="A558" s="2" t="str">
        <f>HYPERLINK("normal/W111106199.png", "W111106199")</f>
        <v>W111106199</v>
      </c>
    </row>
    <row r="559" spans="1:1" x14ac:dyDescent="0.25">
      <c r="A559" s="2" t="str">
        <f>HYPERLINK("normal/W111141111.png", "W111141111")</f>
        <v>W111141111</v>
      </c>
    </row>
    <row r="560" spans="1:1" x14ac:dyDescent="0.25">
      <c r="A560" s="2" t="str">
        <f>HYPERLINK("normal/W195572724.png", "W195572724")</f>
        <v>W195572724</v>
      </c>
    </row>
    <row r="561" spans="1:1" x14ac:dyDescent="0.25">
      <c r="A561" s="2" t="str">
        <f>HYPERLINK("normal/W205517788.jpg", "W205517788")</f>
        <v>W205517788</v>
      </c>
    </row>
    <row r="562" spans="1:1" x14ac:dyDescent="0.25">
      <c r="A562" s="2" t="str">
        <f>HYPERLINK("normal/W219133219.png", "W219133219")</f>
        <v>W219133219</v>
      </c>
    </row>
    <row r="563" spans="1:1" x14ac:dyDescent="0.25">
      <c r="A563" s="2" t="str">
        <f>HYPERLINK("normal/W264759905.png", "W264759905")</f>
        <v>W264759905</v>
      </c>
    </row>
    <row r="564" spans="1:1" x14ac:dyDescent="0.25">
      <c r="A564" s="2" t="str">
        <f>HYPERLINK("normal/W276643048.png", "W276643048")</f>
        <v>W276643048</v>
      </c>
    </row>
    <row r="565" spans="1:1" x14ac:dyDescent="0.25">
      <c r="A565" s="2" t="str">
        <f>HYPERLINK("normal/W445990015.jpg", "W445990015")</f>
        <v>W445990015</v>
      </c>
    </row>
    <row r="566" spans="1:1" x14ac:dyDescent="0.25">
      <c r="A566" s="2" t="str">
        <f>HYPERLINK("normal/W477656219.png", "W477656219")</f>
        <v>W477656219</v>
      </c>
    </row>
    <row r="567" spans="1:1" x14ac:dyDescent="0.25">
      <c r="A567" s="2" t="str">
        <f>HYPERLINK("normal/W479090048.png", "W479090048")</f>
        <v>W479090048</v>
      </c>
    </row>
    <row r="568" spans="1:1" x14ac:dyDescent="0.25">
      <c r="A568" s="2" t="str">
        <f>HYPERLINK("normal/W505651116.png", "W505651116")</f>
        <v>W505651116</v>
      </c>
    </row>
    <row r="569" spans="1:1" x14ac:dyDescent="0.25">
      <c r="A569" s="2" t="str">
        <f>HYPERLINK("normal/W530496076.png", "W530496076")</f>
        <v>W530496076</v>
      </c>
    </row>
    <row r="570" spans="1:1" x14ac:dyDescent="0.25">
      <c r="A570" s="2" t="str">
        <f>HYPERLINK("normal/W639332683.jpg", "W639332683")</f>
        <v>W639332683</v>
      </c>
    </row>
    <row r="571" spans="1:1" x14ac:dyDescent="0.25">
      <c r="A571" s="2" t="str">
        <f>HYPERLINK("normal/W644204945.png", "W644204945")</f>
        <v>W644204945</v>
      </c>
    </row>
    <row r="572" spans="1:1" x14ac:dyDescent="0.25">
      <c r="A572" s="2" t="str">
        <f>HYPERLINK("normal/W680417414.jpg", "W680417414")</f>
        <v>W680417414</v>
      </c>
    </row>
    <row r="573" spans="1:1" x14ac:dyDescent="0.25">
      <c r="A573" s="2" t="str">
        <f>HYPERLINK("normal/W728405504.png", "W728405504")</f>
        <v>W728405504</v>
      </c>
    </row>
    <row r="574" spans="1:1" x14ac:dyDescent="0.25">
      <c r="A574" s="2" t="str">
        <f>HYPERLINK("normal/W735078650.png", "W735078650")</f>
        <v>W735078650</v>
      </c>
    </row>
    <row r="575" spans="1:1" x14ac:dyDescent="0.25">
      <c r="A575" s="2" t="str">
        <f>HYPERLINK("normal/W743917593.jpg", "W743917593")</f>
        <v>W743917593</v>
      </c>
    </row>
    <row r="576" spans="1:1" x14ac:dyDescent="0.25">
      <c r="A576" s="2" t="str">
        <f>HYPERLINK("normal/W778490833.png", "W778490833")</f>
        <v>W778490833</v>
      </c>
    </row>
    <row r="577" spans="1:1" x14ac:dyDescent="0.25">
      <c r="A577" s="2" t="str">
        <f>HYPERLINK("normal/W900752622.png", "W900752622")</f>
        <v>W900752622</v>
      </c>
    </row>
    <row r="578" spans="1:1" x14ac:dyDescent="0.25">
      <c r="A578" s="2" t="str">
        <f>HYPERLINK("normal/W963677309.png", "W963677309")</f>
        <v>W963677309</v>
      </c>
    </row>
    <row r="579" spans="1:1" x14ac:dyDescent="0.25">
      <c r="A579" s="2" t="str">
        <f>HYPERLINK("normal/X009449032.png", "X009449032")</f>
        <v>X009449032</v>
      </c>
    </row>
    <row r="580" spans="1:1" x14ac:dyDescent="0.25">
      <c r="A580" s="2" t="str">
        <f>HYPERLINK("normal/X030163475.jpg", "X030163475")</f>
        <v>X030163475</v>
      </c>
    </row>
    <row r="581" spans="1:1" x14ac:dyDescent="0.25">
      <c r="A581" s="2" t="str">
        <f>HYPERLINK("normal/X137977345.jpg", "X137977345")</f>
        <v>X137977345</v>
      </c>
    </row>
    <row r="582" spans="1:1" x14ac:dyDescent="0.25">
      <c r="A582" s="2" t="str">
        <f>HYPERLINK("normal/X202611713.jpg", "X202611713")</f>
        <v>X202611713</v>
      </c>
    </row>
    <row r="583" spans="1:1" x14ac:dyDescent="0.25">
      <c r="A583" s="2" t="str">
        <f>HYPERLINK("normal/X210282794.png", "X210282794")</f>
        <v>X210282794</v>
      </c>
    </row>
    <row r="584" spans="1:1" x14ac:dyDescent="0.25">
      <c r="A584" s="2" t="str">
        <f>HYPERLINK("normal/X214112226.png", "X214112226")</f>
        <v>X214112226</v>
      </c>
    </row>
    <row r="585" spans="1:1" x14ac:dyDescent="0.25">
      <c r="A585" s="2" t="str">
        <f>HYPERLINK("normal/X223930144.jpg", "X223930144")</f>
        <v>X223930144</v>
      </c>
    </row>
    <row r="586" spans="1:1" x14ac:dyDescent="0.25">
      <c r="A586" s="2" t="str">
        <f>HYPERLINK("normal/X263183523.jpg", "X263183523")</f>
        <v>X263183523</v>
      </c>
    </row>
    <row r="587" spans="1:1" x14ac:dyDescent="0.25">
      <c r="A587" s="2" t="str">
        <f>HYPERLINK("normal/X323688298.jpg", "X323688298")</f>
        <v>X323688298</v>
      </c>
    </row>
    <row r="588" spans="1:1" x14ac:dyDescent="0.25">
      <c r="A588" s="2" t="str">
        <f>HYPERLINK("normal/X409078824.png", "X409078824")</f>
        <v>X409078824</v>
      </c>
    </row>
    <row r="589" spans="1:1" x14ac:dyDescent="0.25">
      <c r="A589" s="2" t="str">
        <f>HYPERLINK("normal/X444499717.jpg", "X444499717")</f>
        <v>X444499717</v>
      </c>
    </row>
    <row r="590" spans="1:1" x14ac:dyDescent="0.25">
      <c r="A590" s="2" t="str">
        <f>HYPERLINK("normal/X449889800.png", "X449889800")</f>
        <v>X449889800</v>
      </c>
    </row>
    <row r="591" spans="1:1" x14ac:dyDescent="0.25">
      <c r="A591" s="2" t="str">
        <f>HYPERLINK("normal/X518861276.jpg", "X518861276")</f>
        <v>X518861276</v>
      </c>
    </row>
    <row r="592" spans="1:1" x14ac:dyDescent="0.25">
      <c r="A592" s="2" t="str">
        <f>HYPERLINK("normal/X535621770.png", "X535621770")</f>
        <v>X535621770</v>
      </c>
    </row>
    <row r="593" spans="1:1" x14ac:dyDescent="0.25">
      <c r="A593" s="2" t="str">
        <f>HYPERLINK("normal/X570504436.png", "X570504436")</f>
        <v>X570504436</v>
      </c>
    </row>
    <row r="594" spans="1:1" x14ac:dyDescent="0.25">
      <c r="A594" s="2" t="str">
        <f>HYPERLINK("normal/X624405535.png", "X624405535")</f>
        <v>X624405535</v>
      </c>
    </row>
    <row r="595" spans="1:1" x14ac:dyDescent="0.25">
      <c r="A595" s="2" t="str">
        <f>HYPERLINK("normal/X683071180.png", "X683071180")</f>
        <v>X683071180</v>
      </c>
    </row>
    <row r="596" spans="1:1" x14ac:dyDescent="0.25">
      <c r="A596" s="2" t="str">
        <f>HYPERLINK("normal/X748219429.jpg", "X748219429")</f>
        <v>X748219429</v>
      </c>
    </row>
    <row r="597" spans="1:1" x14ac:dyDescent="0.25">
      <c r="A597" s="2" t="str">
        <f>HYPERLINK("normal/X754980169.png", "X754980169")</f>
        <v>X754980169</v>
      </c>
    </row>
    <row r="598" spans="1:1" x14ac:dyDescent="0.25">
      <c r="A598" s="2" t="str">
        <f>HYPERLINK("normal/X779011292.jpg", "X779011292")</f>
        <v>X779011292</v>
      </c>
    </row>
    <row r="599" spans="1:1" x14ac:dyDescent="0.25">
      <c r="A599" s="2" t="str">
        <f>HYPERLINK("normal/X824179867.png", "X824179867")</f>
        <v>X824179867</v>
      </c>
    </row>
    <row r="600" spans="1:1" x14ac:dyDescent="0.25">
      <c r="A600" s="2" t="str">
        <f>HYPERLINK("normal/X841161943.png", "X841161943")</f>
        <v>X841161943</v>
      </c>
    </row>
    <row r="601" spans="1:1" x14ac:dyDescent="0.25">
      <c r="A601" s="2" t="str">
        <f>HYPERLINK("normal/X877106453.png", "X877106453")</f>
        <v>X877106453</v>
      </c>
    </row>
    <row r="602" spans="1:1" x14ac:dyDescent="0.25">
      <c r="A602" s="2" t="str">
        <f>HYPERLINK("normal/X939388638.jpg", "X939388638")</f>
        <v>X939388638</v>
      </c>
    </row>
    <row r="603" spans="1:1" x14ac:dyDescent="0.25">
      <c r="A603" s="2" t="str">
        <f>HYPERLINK("normal/X974231416.png", "X974231416")</f>
        <v>X974231416</v>
      </c>
    </row>
    <row r="604" spans="1:1" x14ac:dyDescent="0.25">
      <c r="A604" s="2" t="str">
        <f>HYPERLINK("normal/Y115754297.jpg", "Y115754297")</f>
        <v>Y115754297</v>
      </c>
    </row>
    <row r="605" spans="1:1" x14ac:dyDescent="0.25">
      <c r="A605" s="2" t="str">
        <f>HYPERLINK("normal/Y150203585.jpg", "Y150203585")</f>
        <v>Y150203585</v>
      </c>
    </row>
    <row r="606" spans="1:1" x14ac:dyDescent="0.25">
      <c r="A606" s="2" t="str">
        <f>HYPERLINK("normal/Y186649467.png", "Y186649467")</f>
        <v>Y186649467</v>
      </c>
    </row>
    <row r="607" spans="1:1" x14ac:dyDescent="0.25">
      <c r="A607" s="2" t="str">
        <f>HYPERLINK("normal/Y194569334.png", "Y194569334")</f>
        <v>Y194569334</v>
      </c>
    </row>
    <row r="608" spans="1:1" x14ac:dyDescent="0.25">
      <c r="A608" s="2" t="str">
        <f>HYPERLINK("normal/Y210433628.png", "Y210433628")</f>
        <v>Y210433628</v>
      </c>
    </row>
    <row r="609" spans="1:1" x14ac:dyDescent="0.25">
      <c r="A609" s="2" t="str">
        <f>HYPERLINK("normal/Y302555956.png", "Y302555956")</f>
        <v>Y302555956</v>
      </c>
    </row>
    <row r="610" spans="1:1" x14ac:dyDescent="0.25">
      <c r="A610" s="2" t="str">
        <f>HYPERLINK("normal/Y336214198.png", "Y336214198")</f>
        <v>Y336214198</v>
      </c>
    </row>
    <row r="611" spans="1:1" x14ac:dyDescent="0.25">
      <c r="A611" s="2" t="str">
        <f>HYPERLINK("normal/Y350840782.jpg", "Y350840782")</f>
        <v>Y350840782</v>
      </c>
    </row>
    <row r="612" spans="1:1" x14ac:dyDescent="0.25">
      <c r="A612" s="2" t="str">
        <f>HYPERLINK("normal/Y357353445.jpg", "Y357353445")</f>
        <v>Y357353445</v>
      </c>
    </row>
    <row r="613" spans="1:1" x14ac:dyDescent="0.25">
      <c r="A613" s="2" t="str">
        <f>HYPERLINK("normal/Y404032932.jpg", "Y404032932")</f>
        <v>Y404032932</v>
      </c>
    </row>
    <row r="614" spans="1:1" x14ac:dyDescent="0.25">
      <c r="A614" s="2" t="str">
        <f>HYPERLINK("normal/Y478702151.jpg", "Y478702151")</f>
        <v>Y478702151</v>
      </c>
    </row>
    <row r="615" spans="1:1" x14ac:dyDescent="0.25">
      <c r="A615" s="2" t="str">
        <f>HYPERLINK("normal/Y526327360.png", "Y526327360")</f>
        <v>Y526327360</v>
      </c>
    </row>
    <row r="616" spans="1:1" x14ac:dyDescent="0.25">
      <c r="A616" s="2" t="str">
        <f>HYPERLINK("normal/Y561690253.png", "Y561690253")</f>
        <v>Y561690253</v>
      </c>
    </row>
    <row r="617" spans="1:1" x14ac:dyDescent="0.25">
      <c r="A617" s="2" t="str">
        <f>HYPERLINK("normal/Y587178934.png", "Y587178934")</f>
        <v>Y587178934</v>
      </c>
    </row>
    <row r="618" spans="1:1" x14ac:dyDescent="0.25">
      <c r="A618" s="2" t="str">
        <f>HYPERLINK("normal/Y617427851.png", "Y617427851")</f>
        <v>Y617427851</v>
      </c>
    </row>
    <row r="619" spans="1:1" x14ac:dyDescent="0.25">
      <c r="A619" s="2" t="str">
        <f>HYPERLINK("normal/Y688736682.jpg", "Y688736682")</f>
        <v>Y688736682</v>
      </c>
    </row>
    <row r="620" spans="1:1" x14ac:dyDescent="0.25">
      <c r="A620" s="2" t="str">
        <f>HYPERLINK("normal/Y767048327.jpg", "Y767048327")</f>
        <v>Y767048327</v>
      </c>
    </row>
    <row r="621" spans="1:1" x14ac:dyDescent="0.25">
      <c r="A621" s="2" t="str">
        <f>HYPERLINK("normal/Y772218142.png", "Y772218142")</f>
        <v>Y772218142</v>
      </c>
    </row>
    <row r="622" spans="1:1" x14ac:dyDescent="0.25">
      <c r="A622" s="2" t="str">
        <f>HYPERLINK("normal/Y847947763.png", "Y847947763")</f>
        <v>Y847947763</v>
      </c>
    </row>
    <row r="623" spans="1:1" x14ac:dyDescent="0.25">
      <c r="A623" s="2" t="str">
        <f>HYPERLINK("normal/Y917181959.png", "Y917181959")</f>
        <v>Y917181959</v>
      </c>
    </row>
    <row r="624" spans="1:1" x14ac:dyDescent="0.25">
      <c r="A624" s="2" t="str">
        <f>HYPERLINK("normal/Z032769957.png", "Z032769957")</f>
        <v>Z032769957</v>
      </c>
    </row>
    <row r="625" spans="1:1" x14ac:dyDescent="0.25">
      <c r="A625" s="2" t="str">
        <f>HYPERLINK("normal/Z051658826.png", "Z051658826")</f>
        <v>Z051658826</v>
      </c>
    </row>
    <row r="626" spans="1:1" x14ac:dyDescent="0.25">
      <c r="A626" s="2" t="str">
        <f>HYPERLINK("normal/Z068433438.jpg", "Z068433438")</f>
        <v>Z068433438</v>
      </c>
    </row>
    <row r="627" spans="1:1" x14ac:dyDescent="0.25">
      <c r="A627" s="2" t="str">
        <f>HYPERLINK("normal/Z076987803.jpg", "Z076987803")</f>
        <v>Z076987803</v>
      </c>
    </row>
    <row r="628" spans="1:1" x14ac:dyDescent="0.25">
      <c r="A628" s="2" t="str">
        <f>HYPERLINK("normal/Z086272079.jpg", "Z086272079")</f>
        <v>Z086272079</v>
      </c>
    </row>
    <row r="629" spans="1:1" x14ac:dyDescent="0.25">
      <c r="A629" s="2" t="str">
        <f>HYPERLINK("normal/Z089308238.png", "Z089308238")</f>
        <v>Z089308238</v>
      </c>
    </row>
    <row r="630" spans="1:1" x14ac:dyDescent="0.25">
      <c r="A630" s="2" t="str">
        <f>HYPERLINK("normal/Z115037365.jpg", "Z115037365")</f>
        <v>Z115037365</v>
      </c>
    </row>
    <row r="631" spans="1:1" x14ac:dyDescent="0.25">
      <c r="A631" s="2" t="str">
        <f>HYPERLINK("normal/Z135010212.png", "Z135010212")</f>
        <v>Z135010212</v>
      </c>
    </row>
    <row r="632" spans="1:1" x14ac:dyDescent="0.25">
      <c r="A632" s="2" t="str">
        <f>HYPERLINK("normal/Z171265082.jpg", "Z171265082")</f>
        <v>Z171265082</v>
      </c>
    </row>
    <row r="633" spans="1:1" x14ac:dyDescent="0.25">
      <c r="A633" s="2" t="str">
        <f>HYPERLINK("normal/Z172560294.jpg", "Z172560294")</f>
        <v>Z172560294</v>
      </c>
    </row>
    <row r="634" spans="1:1" x14ac:dyDescent="0.25">
      <c r="A634" s="2" t="str">
        <f>HYPERLINK("normal/Z221721237.jpg", "Z221721237")</f>
        <v>Z221721237</v>
      </c>
    </row>
    <row r="635" spans="1:1" x14ac:dyDescent="0.25">
      <c r="A635" s="2" t="str">
        <f>HYPERLINK("normal/Z226049984.png", "Z226049984")</f>
        <v>Z226049984</v>
      </c>
    </row>
    <row r="636" spans="1:1" x14ac:dyDescent="0.25">
      <c r="A636" s="2" t="str">
        <f>HYPERLINK("normal/Z252703818.png", "Z252703818")</f>
        <v>Z252703818</v>
      </c>
    </row>
    <row r="637" spans="1:1" x14ac:dyDescent="0.25">
      <c r="A637" s="2" t="str">
        <f>HYPERLINK("normal/Z307183180.png", "Z307183180")</f>
        <v>Z307183180</v>
      </c>
    </row>
    <row r="638" spans="1:1" x14ac:dyDescent="0.25">
      <c r="A638" s="2" t="str">
        <f>HYPERLINK("normal/Z352997082.png", "Z352997082")</f>
        <v>Z352997082</v>
      </c>
    </row>
    <row r="639" spans="1:1" x14ac:dyDescent="0.25">
      <c r="A639" s="2" t="str">
        <f>HYPERLINK("normal/Z436877456.png", "Z436877456")</f>
        <v>Z436877456</v>
      </c>
    </row>
    <row r="640" spans="1:1" x14ac:dyDescent="0.25">
      <c r="A640" s="2" t="str">
        <f>HYPERLINK("normal/Z463001293.png", "Z463001293")</f>
        <v>Z463001293</v>
      </c>
    </row>
    <row r="641" spans="1:1" x14ac:dyDescent="0.25">
      <c r="A641" s="2" t="str">
        <f>HYPERLINK("normal/Z484326847.jpg", "Z484326847")</f>
        <v>Z484326847</v>
      </c>
    </row>
    <row r="642" spans="1:1" x14ac:dyDescent="0.25">
      <c r="A642" s="2" t="str">
        <f>HYPERLINK("normal/Z494326702.png", "Z494326702")</f>
        <v>Z494326702</v>
      </c>
    </row>
    <row r="643" spans="1:1" x14ac:dyDescent="0.25">
      <c r="A643" s="2" t="str">
        <f>HYPERLINK("normal/Z551543146.jpg", "Z551543146")</f>
        <v>Z551543146</v>
      </c>
    </row>
    <row r="644" spans="1:1" x14ac:dyDescent="0.25">
      <c r="A644" s="2" t="str">
        <f>HYPERLINK("normal/Z687465120.jpg", "Z687465120")</f>
        <v>Z687465120</v>
      </c>
    </row>
    <row r="645" spans="1:1" x14ac:dyDescent="0.25">
      <c r="A645" s="2" t="str">
        <f>HYPERLINK("normal/Z718693786.png", "Z718693786")</f>
        <v>Z718693786</v>
      </c>
    </row>
    <row r="646" spans="1:1" x14ac:dyDescent="0.25">
      <c r="A646" s="2" t="str">
        <f>HYPERLINK("normal/Z732212258.png", "Z732212258")</f>
        <v>Z732212258</v>
      </c>
    </row>
    <row r="647" spans="1:1" x14ac:dyDescent="0.25">
      <c r="A647" s="2" t="str">
        <f>HYPERLINK("normal/Z748318605.png", "Z748318605")</f>
        <v>Z748318605</v>
      </c>
    </row>
    <row r="648" spans="1:1" x14ac:dyDescent="0.25">
      <c r="A648" s="2" t="str">
        <f>HYPERLINK("normal/Z768876039.jpg", "Z768876039")</f>
        <v>Z768876039</v>
      </c>
    </row>
    <row r="649" spans="1:1" x14ac:dyDescent="0.25">
      <c r="A649" s="2" t="str">
        <f>HYPERLINK("normal/Z823677423.png", "Z823677423")</f>
        <v>Z823677423</v>
      </c>
    </row>
    <row r="650" spans="1:1" x14ac:dyDescent="0.25">
      <c r="A650" s="2" t="str">
        <f>HYPERLINK("normal/Z838503623.png", "Z838503623")</f>
        <v>Z838503623</v>
      </c>
    </row>
    <row r="651" spans="1:1" x14ac:dyDescent="0.25">
      <c r="A651" s="2" t="str">
        <f>HYPERLINK("normal/Z854731846.png", "Z854731846")</f>
        <v>Z854731846</v>
      </c>
    </row>
    <row r="652" spans="1:1" x14ac:dyDescent="0.25">
      <c r="A652" s="2" t="str">
        <f>HYPERLINK("normal/Z888615207.png", "Z888615207")</f>
        <v>Z888615207</v>
      </c>
    </row>
    <row r="653" spans="1:1" x14ac:dyDescent="0.25">
      <c r="A653" s="2" t="str">
        <f>HYPERLINK("normal/Z941833177.png", "Z941833177")</f>
        <v>Z941833177</v>
      </c>
    </row>
    <row r="654" spans="1:1" x14ac:dyDescent="0.25">
      <c r="A654" s="2" t="str">
        <f>HYPERLINK("normal/Z964995707.jpg", "Z964995707")</f>
        <v>Z964995707</v>
      </c>
    </row>
  </sheetData>
  <phoneticPr fontId="19" type="noConversion"/>
  <dataValidations count="2">
    <dataValidation type="list" allowBlank="1" showInputMessage="1" showErrorMessage="1" sqref="E1:G1048576">
      <formula1>"✔"</formula1>
    </dataValidation>
    <dataValidation type="list" allowBlank="1" showInputMessage="1" showErrorMessage="1" sqref="B1:B1048576">
      <formula1>"男,女"</formula1>
    </dataValidation>
  </dataValidations>
  <hyperlinks>
    <hyperlink ref="A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2025-03-04T06:56:11Z</dcterms:created>
  <dcterms:modified xsi:type="dcterms:W3CDTF">2025-03-14T02:18:56Z</dcterms:modified>
</cp:coreProperties>
</file>