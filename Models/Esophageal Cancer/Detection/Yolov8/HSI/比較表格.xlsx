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承達\畢業\碩論\統計資料\"/>
    </mc:Choice>
  </mc:AlternateContent>
  <xr:revisionPtr revIDLastSave="0" documentId="13_ncr:1_{7BA95F62-9CF9-4653-BAC4-C2C040B88928}" xr6:coauthVersionLast="36" xr6:coauthVersionMax="36" xr10:uidLastSave="{00000000-0000-0000-0000-000000000000}"/>
  <bookViews>
    <workbookView xWindow="0" yWindow="0" windowWidth="28800" windowHeight="11850" xr2:uid="{5BD05E2D-6257-49DC-8D68-70429AED47A5}"/>
  </bookViews>
  <sheets>
    <sheet name="工作表1" sheetId="12" r:id="rId1"/>
    <sheet name="框選統計" sheetId="3" r:id="rId2"/>
    <sheet name="WLI" sheetId="4" r:id="rId3"/>
    <sheet name="HSI" sheetId="9" r:id="rId4"/>
    <sheet name="結果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5" i="9" l="1"/>
  <c r="S26" i="9"/>
  <c r="S25" i="4"/>
  <c r="S25" i="9"/>
  <c r="AC25" i="9" l="1"/>
  <c r="F34" i="9"/>
  <c r="S27" i="9"/>
  <c r="S24" i="9"/>
  <c r="J34" i="9"/>
  <c r="J33" i="9"/>
  <c r="J32" i="9"/>
  <c r="J31" i="9"/>
  <c r="J30" i="9"/>
  <c r="J29" i="9"/>
  <c r="J28" i="9"/>
  <c r="J27" i="9"/>
  <c r="J26" i="9"/>
  <c r="J25" i="9"/>
  <c r="J24" i="9"/>
  <c r="J36" i="9" s="1"/>
  <c r="J35" i="9" s="1"/>
  <c r="AC23" i="9"/>
  <c r="AB23" i="9"/>
  <c r="AA23" i="9"/>
  <c r="Z23" i="9"/>
  <c r="Y23" i="9"/>
  <c r="X23" i="9"/>
  <c r="W23" i="9"/>
  <c r="V23" i="9"/>
  <c r="U23" i="9"/>
  <c r="T23" i="9"/>
  <c r="S23" i="9"/>
  <c r="AC23" i="4"/>
  <c r="AB23" i="4"/>
  <c r="AA23" i="4"/>
  <c r="Z23" i="4"/>
  <c r="Y23" i="4"/>
  <c r="X23" i="4"/>
  <c r="W23" i="4"/>
  <c r="J28" i="4" s="1"/>
  <c r="V23" i="4"/>
  <c r="U23" i="4"/>
  <c r="J26" i="4" s="1"/>
  <c r="T23" i="4"/>
  <c r="J25" i="4" s="1"/>
  <c r="J30" i="4"/>
  <c r="J29" i="4"/>
  <c r="J32" i="4"/>
  <c r="S23" i="4"/>
  <c r="J24" i="4" s="1"/>
  <c r="S32" i="4"/>
  <c r="AF7" i="4"/>
  <c r="AE7" i="4"/>
  <c r="J34" i="4"/>
  <c r="J33" i="4"/>
  <c r="J31" i="4"/>
  <c r="J27" i="4"/>
  <c r="S26" i="4"/>
  <c r="V25" i="4"/>
  <c r="F27" i="4"/>
  <c r="N25" i="12"/>
  <c r="H25" i="12"/>
  <c r="F10" i="12"/>
  <c r="E10" i="12"/>
  <c r="O9" i="3"/>
  <c r="O19" i="3" s="1"/>
  <c r="O10" i="3"/>
  <c r="O11" i="3"/>
  <c r="O12" i="3"/>
  <c r="O13" i="3"/>
  <c r="O14" i="3"/>
  <c r="O15" i="3"/>
  <c r="O16" i="3"/>
  <c r="O17" i="3"/>
  <c r="O18" i="3"/>
  <c r="O8" i="3"/>
  <c r="I19" i="3"/>
  <c r="J36" i="4" l="1"/>
  <c r="J35" i="4" s="1"/>
  <c r="D43" i="9" l="1"/>
  <c r="D43" i="4"/>
  <c r="D45" i="4" s="1"/>
  <c r="D42" i="9"/>
  <c r="D41" i="9"/>
  <c r="D40" i="9"/>
  <c r="G43" i="4"/>
  <c r="AD27" i="4"/>
  <c r="AA27" i="4"/>
  <c r="F43" i="4"/>
  <c r="AD25" i="4"/>
  <c r="AC25" i="4"/>
  <c r="E45" i="4"/>
  <c r="E43" i="4"/>
  <c r="D42" i="4"/>
  <c r="D41" i="4"/>
  <c r="D40" i="4"/>
  <c r="D45" i="9" l="1"/>
  <c r="D34" i="9"/>
  <c r="D33" i="9"/>
  <c r="D32" i="9"/>
  <c r="D31" i="9"/>
  <c r="D30" i="9"/>
  <c r="D29" i="9"/>
  <c r="D28" i="9"/>
  <c r="D27" i="9"/>
  <c r="D26" i="9"/>
  <c r="D25" i="9"/>
  <c r="D24" i="9"/>
  <c r="N20" i="9"/>
  <c r="N19" i="9" s="1"/>
  <c r="M20" i="9"/>
  <c r="M19" i="9" s="1"/>
  <c r="L20" i="9"/>
  <c r="L19" i="9" s="1"/>
  <c r="K20" i="9"/>
  <c r="K19" i="9" s="1"/>
  <c r="J20" i="9"/>
  <c r="J19" i="9" s="1"/>
  <c r="I20" i="9"/>
  <c r="I19" i="9" s="1"/>
  <c r="H20" i="9"/>
  <c r="H19" i="9" s="1"/>
  <c r="G20" i="9"/>
  <c r="G19" i="9" s="1"/>
  <c r="F20" i="9"/>
  <c r="F19" i="9" s="1"/>
  <c r="E20" i="9"/>
  <c r="E19" i="9" s="1"/>
  <c r="D20" i="9"/>
  <c r="D19" i="9" s="1"/>
  <c r="C20" i="9"/>
  <c r="C19" i="9" s="1"/>
  <c r="AD18" i="9"/>
  <c r="AC18" i="9"/>
  <c r="AB18" i="9"/>
  <c r="AA18" i="9"/>
  <c r="Z18" i="9"/>
  <c r="Y18" i="9"/>
  <c r="X18" i="9"/>
  <c r="W18" i="9"/>
  <c r="V18" i="9"/>
  <c r="U18" i="9"/>
  <c r="T18" i="9"/>
  <c r="S18" i="9"/>
  <c r="P18" i="9"/>
  <c r="O18" i="9" s="1"/>
  <c r="AD17" i="9"/>
  <c r="AC17" i="9"/>
  <c r="AB17" i="9"/>
  <c r="AA17" i="9"/>
  <c r="Z17" i="9"/>
  <c r="Y17" i="9"/>
  <c r="X17" i="9"/>
  <c r="W17" i="9"/>
  <c r="V17" i="9"/>
  <c r="U17" i="9"/>
  <c r="T17" i="9"/>
  <c r="S17" i="9"/>
  <c r="P17" i="9"/>
  <c r="O17" i="9" s="1"/>
  <c r="AD16" i="9"/>
  <c r="AC16" i="9"/>
  <c r="AB16" i="9"/>
  <c r="AA16" i="9"/>
  <c r="Z16" i="9"/>
  <c r="Y16" i="9"/>
  <c r="X16" i="9"/>
  <c r="W16" i="9"/>
  <c r="V16" i="9"/>
  <c r="U16" i="9"/>
  <c r="T16" i="9"/>
  <c r="S16" i="9"/>
  <c r="P16" i="9"/>
  <c r="O16" i="9" s="1"/>
  <c r="AD15" i="9"/>
  <c r="AC15" i="9"/>
  <c r="AB15" i="9"/>
  <c r="AA15" i="9"/>
  <c r="Z15" i="9"/>
  <c r="Y15" i="9"/>
  <c r="X15" i="9"/>
  <c r="W15" i="9"/>
  <c r="V15" i="9"/>
  <c r="U15" i="9"/>
  <c r="T15" i="9"/>
  <c r="S15" i="9"/>
  <c r="P15" i="9"/>
  <c r="O15" i="9" s="1"/>
  <c r="AD14" i="9"/>
  <c r="AC14" i="9"/>
  <c r="AB14" i="9"/>
  <c r="AA14" i="9"/>
  <c r="Z14" i="9"/>
  <c r="Y14" i="9"/>
  <c r="X14" i="9"/>
  <c r="W14" i="9"/>
  <c r="V14" i="9"/>
  <c r="U14" i="9"/>
  <c r="T14" i="9"/>
  <c r="S14" i="9"/>
  <c r="P14" i="9"/>
  <c r="O14" i="9" s="1"/>
  <c r="AD13" i="9"/>
  <c r="AC13" i="9"/>
  <c r="AB13" i="9"/>
  <c r="AA13" i="9"/>
  <c r="Z13" i="9"/>
  <c r="Y13" i="9"/>
  <c r="X13" i="9"/>
  <c r="W13" i="9"/>
  <c r="V13" i="9"/>
  <c r="U13" i="9"/>
  <c r="T13" i="9"/>
  <c r="S13" i="9"/>
  <c r="P13" i="9"/>
  <c r="O13" i="9" s="1"/>
  <c r="AD12" i="9"/>
  <c r="AC12" i="9"/>
  <c r="AB12" i="9"/>
  <c r="AA12" i="9"/>
  <c r="Z12" i="9"/>
  <c r="Y12" i="9"/>
  <c r="X12" i="9"/>
  <c r="W12" i="9"/>
  <c r="V12" i="9"/>
  <c r="U12" i="9"/>
  <c r="T12" i="9"/>
  <c r="S12" i="9"/>
  <c r="P12" i="9"/>
  <c r="O12" i="9" s="1"/>
  <c r="AD11" i="9"/>
  <c r="AC11" i="9"/>
  <c r="AB11" i="9"/>
  <c r="AA11" i="9"/>
  <c r="Z11" i="9"/>
  <c r="Y11" i="9"/>
  <c r="X11" i="9"/>
  <c r="W11" i="9"/>
  <c r="V11" i="9"/>
  <c r="U11" i="9"/>
  <c r="T11" i="9"/>
  <c r="S11" i="9"/>
  <c r="P11" i="9"/>
  <c r="O11" i="9" s="1"/>
  <c r="AD10" i="9"/>
  <c r="AC10" i="9"/>
  <c r="AB10" i="9"/>
  <c r="AA10" i="9"/>
  <c r="Z10" i="9"/>
  <c r="Y10" i="9"/>
  <c r="X10" i="9"/>
  <c r="W10" i="9"/>
  <c r="V10" i="9"/>
  <c r="U10" i="9"/>
  <c r="T10" i="9"/>
  <c r="S10" i="9"/>
  <c r="P10" i="9"/>
  <c r="O10" i="9" s="1"/>
  <c r="AD9" i="9"/>
  <c r="AC9" i="9"/>
  <c r="AB9" i="9"/>
  <c r="AA9" i="9"/>
  <c r="Z9" i="9"/>
  <c r="Y9" i="9"/>
  <c r="X9" i="9"/>
  <c r="W9" i="9"/>
  <c r="V9" i="9"/>
  <c r="U9" i="9"/>
  <c r="T9" i="9"/>
  <c r="S9" i="9"/>
  <c r="P9" i="9"/>
  <c r="O9" i="9" s="1"/>
  <c r="AD8" i="9"/>
  <c r="AC8" i="9"/>
  <c r="AB8" i="9"/>
  <c r="AA8" i="9"/>
  <c r="Z8" i="9"/>
  <c r="Y8" i="9"/>
  <c r="X8" i="9"/>
  <c r="W8" i="9"/>
  <c r="V8" i="9"/>
  <c r="U8" i="9"/>
  <c r="T8" i="9"/>
  <c r="S8" i="9"/>
  <c r="P8" i="9"/>
  <c r="O8" i="9"/>
  <c r="AD7" i="9"/>
  <c r="AC7" i="9"/>
  <c r="AB7" i="9"/>
  <c r="AA7" i="9"/>
  <c r="Z7" i="9"/>
  <c r="Y7" i="9"/>
  <c r="X7" i="9"/>
  <c r="W7" i="9"/>
  <c r="V7" i="9"/>
  <c r="U7" i="9"/>
  <c r="T7" i="9"/>
  <c r="S7" i="9"/>
  <c r="P7" i="9"/>
  <c r="L19" i="3"/>
  <c r="L53" i="3"/>
  <c r="AF13" i="9" l="1"/>
  <c r="AE13" i="9" s="1"/>
  <c r="AF14" i="9"/>
  <c r="AE14" i="9" s="1"/>
  <c r="Z25" i="9" s="1"/>
  <c r="V20" i="9"/>
  <c r="V19" i="9" s="1"/>
  <c r="V24" i="9" s="1"/>
  <c r="E27" i="9" s="1"/>
  <c r="AF17" i="9"/>
  <c r="AE17" i="9" s="1"/>
  <c r="AF9" i="9"/>
  <c r="AE9" i="9" s="1"/>
  <c r="U25" i="9" s="1"/>
  <c r="F42" i="9" s="1"/>
  <c r="AF10" i="9"/>
  <c r="AE10" i="9" s="1"/>
  <c r="AD20" i="9"/>
  <c r="AD19" i="9" s="1"/>
  <c r="AF15" i="9"/>
  <c r="AE15" i="9" s="1"/>
  <c r="AA25" i="9" s="1"/>
  <c r="F32" i="9" s="1"/>
  <c r="D36" i="9"/>
  <c r="U20" i="9"/>
  <c r="U19" i="9" s="1"/>
  <c r="U24" i="9" s="1"/>
  <c r="Y20" i="9"/>
  <c r="Y19" i="9" s="1"/>
  <c r="Y24" i="9" s="1"/>
  <c r="E30" i="9" s="1"/>
  <c r="AF18" i="9"/>
  <c r="AE18" i="9" s="1"/>
  <c r="AC20" i="9"/>
  <c r="AC19" i="9" s="1"/>
  <c r="AC24" i="9" s="1"/>
  <c r="E34" i="9" s="1"/>
  <c r="AB20" i="9"/>
  <c r="AB19" i="9" s="1"/>
  <c r="AB24" i="9" s="1"/>
  <c r="E33" i="9" s="1"/>
  <c r="AF16" i="9"/>
  <c r="AE16" i="9" s="1"/>
  <c r="AB25" i="9" s="1"/>
  <c r="AA20" i="9"/>
  <c r="AA19" i="9" s="1"/>
  <c r="AA24" i="9" s="1"/>
  <c r="E32" i="9" s="1"/>
  <c r="Z20" i="9"/>
  <c r="Z19" i="9" s="1"/>
  <c r="Z24" i="9" s="1"/>
  <c r="E31" i="9" s="1"/>
  <c r="AF12" i="9"/>
  <c r="AE12" i="9" s="1"/>
  <c r="X25" i="9" s="1"/>
  <c r="F29" i="9" s="1"/>
  <c r="P19" i="9"/>
  <c r="X20" i="9"/>
  <c r="X19" i="9" s="1"/>
  <c r="X24" i="9" s="1"/>
  <c r="E29" i="9" s="1"/>
  <c r="W20" i="9"/>
  <c r="W19" i="9" s="1"/>
  <c r="W24" i="9" s="1"/>
  <c r="E28" i="9" s="1"/>
  <c r="AF11" i="9"/>
  <c r="AE11" i="9" s="1"/>
  <c r="W25" i="9" s="1"/>
  <c r="T20" i="9"/>
  <c r="T19" i="9" s="1"/>
  <c r="T24" i="9" s="1"/>
  <c r="F26" i="9"/>
  <c r="O20" i="9"/>
  <c r="AF8" i="9"/>
  <c r="AE8" i="9" s="1"/>
  <c r="T25" i="9" s="1"/>
  <c r="F41" i="9" s="1"/>
  <c r="AF7" i="9"/>
  <c r="O25" i="9"/>
  <c r="S20" i="9"/>
  <c r="O7" i="9"/>
  <c r="D34" i="4"/>
  <c r="D33" i="4"/>
  <c r="D32" i="4"/>
  <c r="D31" i="4"/>
  <c r="D30" i="4"/>
  <c r="D29" i="4"/>
  <c r="D28" i="4"/>
  <c r="D27" i="4"/>
  <c r="D26" i="4"/>
  <c r="D25" i="4"/>
  <c r="D24" i="4"/>
  <c r="P7" i="4"/>
  <c r="AD8" i="4"/>
  <c r="AD9" i="4"/>
  <c r="AD10" i="4"/>
  <c r="AD11" i="4"/>
  <c r="AD12" i="4"/>
  <c r="AD13" i="4"/>
  <c r="AD14" i="4"/>
  <c r="AD15" i="4"/>
  <c r="AD16" i="4"/>
  <c r="AD17" i="4"/>
  <c r="AD7" i="4"/>
  <c r="AC7" i="4"/>
  <c r="Z14" i="4"/>
  <c r="AC8" i="4"/>
  <c r="AC9" i="4"/>
  <c r="AC10" i="4"/>
  <c r="AC11" i="4"/>
  <c r="AC12" i="4"/>
  <c r="AC13" i="4"/>
  <c r="AC14" i="4"/>
  <c r="AC15" i="4"/>
  <c r="AC16" i="4"/>
  <c r="AC17" i="4"/>
  <c r="AC18" i="4"/>
  <c r="AB8" i="4"/>
  <c r="AB9" i="4"/>
  <c r="AB10" i="4"/>
  <c r="AB11" i="4"/>
  <c r="AB12" i="4"/>
  <c r="AB13" i="4"/>
  <c r="AB14" i="4"/>
  <c r="AB15" i="4"/>
  <c r="AB16" i="4"/>
  <c r="AB17" i="4"/>
  <c r="AB18" i="4"/>
  <c r="AB7" i="4"/>
  <c r="AA8" i="4"/>
  <c r="AA9" i="4"/>
  <c r="AA10" i="4"/>
  <c r="AA11" i="4"/>
  <c r="AA12" i="4"/>
  <c r="AA13" i="4"/>
  <c r="AA14" i="4"/>
  <c r="AA15" i="4"/>
  <c r="AA16" i="4"/>
  <c r="AA17" i="4"/>
  <c r="AA18" i="4"/>
  <c r="AA7" i="4"/>
  <c r="Z8" i="4"/>
  <c r="Z9" i="4"/>
  <c r="Z10" i="4"/>
  <c r="Z11" i="4"/>
  <c r="Z12" i="4"/>
  <c r="Z13" i="4"/>
  <c r="Z15" i="4"/>
  <c r="Z16" i="4"/>
  <c r="Z17" i="4"/>
  <c r="Z18" i="4"/>
  <c r="Z7" i="4"/>
  <c r="Y8" i="4"/>
  <c r="Y9" i="4"/>
  <c r="Y10" i="4"/>
  <c r="Y11" i="4"/>
  <c r="Y12" i="4"/>
  <c r="Y13" i="4"/>
  <c r="Y14" i="4"/>
  <c r="Y15" i="4"/>
  <c r="Y16" i="4"/>
  <c r="Y17" i="4"/>
  <c r="Y18" i="4"/>
  <c r="Y7" i="4"/>
  <c r="X8" i="4"/>
  <c r="X9" i="4"/>
  <c r="X10" i="4"/>
  <c r="X11" i="4"/>
  <c r="X12" i="4"/>
  <c r="X13" i="4"/>
  <c r="X14" i="4"/>
  <c r="X15" i="4"/>
  <c r="X16" i="4"/>
  <c r="X17" i="4"/>
  <c r="X18" i="4"/>
  <c r="X7" i="4"/>
  <c r="W8" i="4"/>
  <c r="W9" i="4"/>
  <c r="W10" i="4"/>
  <c r="W11" i="4"/>
  <c r="W12" i="4"/>
  <c r="W13" i="4"/>
  <c r="W14" i="4"/>
  <c r="W15" i="4"/>
  <c r="W16" i="4"/>
  <c r="W17" i="4"/>
  <c r="W18" i="4"/>
  <c r="W7" i="4"/>
  <c r="V8" i="4"/>
  <c r="V9" i="4"/>
  <c r="V10" i="4"/>
  <c r="V11" i="4"/>
  <c r="V12" i="4"/>
  <c r="V13" i="4"/>
  <c r="V14" i="4"/>
  <c r="V15" i="4"/>
  <c r="V16" i="4"/>
  <c r="V17" i="4"/>
  <c r="V18" i="4"/>
  <c r="V7" i="4"/>
  <c r="U9" i="4"/>
  <c r="U18" i="4"/>
  <c r="U8" i="4"/>
  <c r="U10" i="4"/>
  <c r="U11" i="4"/>
  <c r="U12" i="4"/>
  <c r="U13" i="4"/>
  <c r="U14" i="4"/>
  <c r="U15" i="4"/>
  <c r="U16" i="4"/>
  <c r="U17" i="4"/>
  <c r="U7" i="4"/>
  <c r="T9" i="4"/>
  <c r="T10" i="4"/>
  <c r="T11" i="4"/>
  <c r="T12" i="4"/>
  <c r="T13" i="4"/>
  <c r="T14" i="4"/>
  <c r="T15" i="4"/>
  <c r="T16" i="4"/>
  <c r="T17" i="4"/>
  <c r="S8" i="4"/>
  <c r="S9" i="4"/>
  <c r="S10" i="4"/>
  <c r="S11" i="4"/>
  <c r="S12" i="4"/>
  <c r="S13" i="4"/>
  <c r="S14" i="4"/>
  <c r="S15" i="4"/>
  <c r="S16" i="4"/>
  <c r="S17" i="4"/>
  <c r="T7" i="4"/>
  <c r="T18" i="4"/>
  <c r="T8" i="4"/>
  <c r="S18" i="4"/>
  <c r="S7" i="4"/>
  <c r="AD18" i="4"/>
  <c r="L36" i="3"/>
  <c r="F36" i="3"/>
  <c r="W27" i="9" l="1"/>
  <c r="G28" i="9" s="1"/>
  <c r="U27" i="9"/>
  <c r="G42" i="9" s="1"/>
  <c r="E25" i="9"/>
  <c r="E41" i="9"/>
  <c r="D35" i="9"/>
  <c r="D44" i="9"/>
  <c r="AA27" i="9"/>
  <c r="G32" i="9" s="1"/>
  <c r="AB27" i="9"/>
  <c r="G33" i="9" s="1"/>
  <c r="F33" i="9"/>
  <c r="AD25" i="9"/>
  <c r="F43" i="9" s="1"/>
  <c r="V25" i="9"/>
  <c r="F27" i="9" s="1"/>
  <c r="AD24" i="9"/>
  <c r="E43" i="9" s="1"/>
  <c r="E26" i="9"/>
  <c r="E42" i="9"/>
  <c r="H24" i="9"/>
  <c r="H40" i="9"/>
  <c r="AC27" i="9"/>
  <c r="G34" i="9" s="1"/>
  <c r="F28" i="9"/>
  <c r="F25" i="9"/>
  <c r="T27" i="9"/>
  <c r="AF19" i="9"/>
  <c r="AE7" i="9"/>
  <c r="F40" i="9" s="1"/>
  <c r="X27" i="9"/>
  <c r="G29" i="9" s="1"/>
  <c r="AE21" i="9"/>
  <c r="AE20" i="9"/>
  <c r="S19" i="9"/>
  <c r="F30" i="9"/>
  <c r="Y27" i="9"/>
  <c r="G30" i="9" s="1"/>
  <c r="Z27" i="9"/>
  <c r="G31" i="9" s="1"/>
  <c r="F31" i="9"/>
  <c r="D36" i="4"/>
  <c r="AF16" i="4"/>
  <c r="AF10" i="4"/>
  <c r="O25" i="4"/>
  <c r="AF15" i="4"/>
  <c r="AF14" i="4"/>
  <c r="AF13" i="4"/>
  <c r="AF12" i="4"/>
  <c r="AF17" i="4"/>
  <c r="AF11" i="4"/>
  <c r="AF9" i="4"/>
  <c r="AF8" i="4"/>
  <c r="AF18" i="4"/>
  <c r="I36" i="3"/>
  <c r="P18" i="4"/>
  <c r="O18" i="4" s="1"/>
  <c r="N20" i="4"/>
  <c r="N19" i="4" s="1"/>
  <c r="P8" i="4"/>
  <c r="O8" i="4" s="1"/>
  <c r="P9" i="4"/>
  <c r="O9" i="4" s="1"/>
  <c r="P10" i="4"/>
  <c r="O10" i="4" s="1"/>
  <c r="P11" i="4"/>
  <c r="O11" i="4" s="1"/>
  <c r="P12" i="4"/>
  <c r="O12" i="4" s="1"/>
  <c r="P13" i="4"/>
  <c r="O13" i="4" s="1"/>
  <c r="P14" i="4"/>
  <c r="O14" i="4" s="1"/>
  <c r="P15" i="4"/>
  <c r="O15" i="4" s="1"/>
  <c r="P16" i="4"/>
  <c r="O16" i="4" s="1"/>
  <c r="P17" i="4"/>
  <c r="O17" i="4" s="1"/>
  <c r="O7" i="4"/>
  <c r="D20" i="4"/>
  <c r="D19" i="4" s="1"/>
  <c r="E20" i="4"/>
  <c r="E19" i="4" s="1"/>
  <c r="F20" i="4"/>
  <c r="F19" i="4" s="1"/>
  <c r="G20" i="4"/>
  <c r="G19" i="4" s="1"/>
  <c r="H20" i="4"/>
  <c r="H19" i="4" s="1"/>
  <c r="I20" i="4"/>
  <c r="I19" i="4" s="1"/>
  <c r="J20" i="4"/>
  <c r="J19" i="4" s="1"/>
  <c r="K20" i="4"/>
  <c r="K19" i="4" s="1"/>
  <c r="L20" i="4"/>
  <c r="L19" i="4" s="1"/>
  <c r="M20" i="4"/>
  <c r="C20" i="4"/>
  <c r="C19" i="4" s="1"/>
  <c r="G26" i="9" l="1"/>
  <c r="V27" i="9"/>
  <c r="G27" i="9" s="1"/>
  <c r="F45" i="9"/>
  <c r="AD27" i="9"/>
  <c r="G43" i="9" s="1"/>
  <c r="G25" i="9"/>
  <c r="G41" i="9"/>
  <c r="D35" i="4"/>
  <c r="D44" i="4"/>
  <c r="H40" i="4"/>
  <c r="F24" i="9"/>
  <c r="F36" i="9" s="1"/>
  <c r="N25" i="9"/>
  <c r="M25" i="9" s="1"/>
  <c r="S28" i="9" s="1"/>
  <c r="AE19" i="9"/>
  <c r="AF19" i="4"/>
  <c r="M19" i="4"/>
  <c r="O20" i="4"/>
  <c r="AE9" i="4"/>
  <c r="U25" i="4" s="1"/>
  <c r="AE18" i="4"/>
  <c r="AE10" i="4"/>
  <c r="AE17" i="4"/>
  <c r="AE15" i="4"/>
  <c r="AA25" i="4" s="1"/>
  <c r="W20" i="4"/>
  <c r="W19" i="4" s="1"/>
  <c r="W24" i="4" s="1"/>
  <c r="S20" i="4"/>
  <c r="AD20" i="4"/>
  <c r="AD19" i="4" s="1"/>
  <c r="AE16" i="4"/>
  <c r="AB25" i="4" s="1"/>
  <c r="U20" i="4"/>
  <c r="U19" i="4" s="1"/>
  <c r="U24" i="4" s="1"/>
  <c r="AC20" i="4"/>
  <c r="AB20" i="4"/>
  <c r="AB19" i="4" s="1"/>
  <c r="AB24" i="4" s="1"/>
  <c r="V20" i="4"/>
  <c r="V19" i="4" s="1"/>
  <c r="AA20" i="4"/>
  <c r="AA19" i="4" s="1"/>
  <c r="AA24" i="4" s="1"/>
  <c r="T20" i="4"/>
  <c r="T19" i="4" s="1"/>
  <c r="T24" i="4" s="1"/>
  <c r="AE13" i="4"/>
  <c r="Y25" i="4" s="1"/>
  <c r="Z20" i="4"/>
  <c r="Z19" i="4" s="1"/>
  <c r="Z24" i="4" s="1"/>
  <c r="Y20" i="4"/>
  <c r="Y19" i="4" s="1"/>
  <c r="Y24" i="4" s="1"/>
  <c r="X20" i="4"/>
  <c r="X19" i="4" s="1"/>
  <c r="X24" i="4" s="1"/>
  <c r="AE8" i="4"/>
  <c r="T25" i="4" s="1"/>
  <c r="AE14" i="4"/>
  <c r="Z25" i="4" s="1"/>
  <c r="AE11" i="4"/>
  <c r="W25" i="4" s="1"/>
  <c r="AE12" i="4"/>
  <c r="X25" i="4" s="1"/>
  <c r="F19" i="3"/>
  <c r="I24" i="9" l="1"/>
  <c r="I40" i="9"/>
  <c r="F35" i="9"/>
  <c r="F44" i="9"/>
  <c r="E24" i="9"/>
  <c r="E36" i="9" s="1"/>
  <c r="E40" i="9"/>
  <c r="E45" i="9" s="1"/>
  <c r="V24" i="4"/>
  <c r="F30" i="4"/>
  <c r="E26" i="4"/>
  <c r="E42" i="4"/>
  <c r="E28" i="4"/>
  <c r="F31" i="4"/>
  <c r="E25" i="4"/>
  <c r="E41" i="4"/>
  <c r="F33" i="4"/>
  <c r="F25" i="4"/>
  <c r="F41" i="4"/>
  <c r="E32" i="4"/>
  <c r="F26" i="4"/>
  <c r="F42" i="4"/>
  <c r="E29" i="4"/>
  <c r="E27" i="4"/>
  <c r="AE21" i="4"/>
  <c r="F32" i="4"/>
  <c r="F28" i="4"/>
  <c r="E30" i="4"/>
  <c r="E33" i="4"/>
  <c r="F34" i="4"/>
  <c r="F29" i="4"/>
  <c r="E31" i="4"/>
  <c r="S19" i="4"/>
  <c r="AE20" i="4"/>
  <c r="AE19" i="4" s="1"/>
  <c r="U27" i="4"/>
  <c r="T27" i="4"/>
  <c r="AB27" i="4"/>
  <c r="X27" i="4"/>
  <c r="Z27" i="4"/>
  <c r="V27" i="4"/>
  <c r="Y27" i="4"/>
  <c r="W27" i="4"/>
  <c r="AC19" i="4"/>
  <c r="AC24" i="4" s="1"/>
  <c r="E35" i="9" l="1"/>
  <c r="E44" i="9"/>
  <c r="G24" i="9"/>
  <c r="G36" i="9" s="1"/>
  <c r="G40" i="9"/>
  <c r="G45" i="9" s="1"/>
  <c r="AD24" i="4"/>
  <c r="G26" i="4"/>
  <c r="G42" i="4"/>
  <c r="G31" i="4"/>
  <c r="G28" i="4"/>
  <c r="G25" i="4"/>
  <c r="G41" i="4"/>
  <c r="G30" i="4"/>
  <c r="G27" i="4"/>
  <c r="E34" i="4"/>
  <c r="G29" i="4"/>
  <c r="N25" i="4"/>
  <c r="S24" i="4"/>
  <c r="F40" i="4"/>
  <c r="F45" i="4" s="1"/>
  <c r="G32" i="4"/>
  <c r="G33" i="4"/>
  <c r="F24" i="4"/>
  <c r="F36" i="4" s="1"/>
  <c r="AC27" i="4"/>
  <c r="H24" i="4"/>
  <c r="G35" i="9" l="1"/>
  <c r="G44" i="9"/>
  <c r="E40" i="4"/>
  <c r="G34" i="4"/>
  <c r="F35" i="4"/>
  <c r="F44" i="4"/>
  <c r="E24" i="4"/>
  <c r="E36" i="4" s="1"/>
  <c r="S27" i="4"/>
  <c r="M25" i="4"/>
  <c r="S28" i="4" s="1"/>
  <c r="I24" i="4" l="1"/>
  <c r="I40" i="4"/>
  <c r="G24" i="4"/>
  <c r="G36" i="4" s="1"/>
  <c r="G40" i="4"/>
  <c r="G45" i="4" s="1"/>
  <c r="E35" i="4"/>
  <c r="E44" i="4"/>
  <c r="P19" i="4"/>
  <c r="G35" i="4" l="1"/>
  <c r="G44" i="4"/>
</calcChain>
</file>

<file path=xl/sharedStrings.xml><?xml version="1.0" encoding="utf-8"?>
<sst xmlns="http://schemas.openxmlformats.org/spreadsheetml/2006/main" count="424" uniqueCount="71">
  <si>
    <t>RGB-WLI</t>
    <phoneticPr fontId="1" type="noConversion"/>
  </si>
  <si>
    <t>AP</t>
    <phoneticPr fontId="1" type="noConversion"/>
  </si>
  <si>
    <t>Sensitivity</t>
  </si>
  <si>
    <t>Precision</t>
  </si>
  <si>
    <t>accuracy</t>
  </si>
  <si>
    <t>Kappa</t>
    <phoneticPr fontId="1" type="noConversion"/>
  </si>
  <si>
    <t>Dysplasia</t>
  </si>
  <si>
    <t>Total</t>
    <phoneticPr fontId="1" type="noConversion"/>
  </si>
  <si>
    <r>
      <rPr>
        <sz val="14"/>
        <color theme="1"/>
        <rFont val="標楷體"/>
        <family val="4"/>
        <charset val="136"/>
      </rPr>
      <t>框數</t>
    </r>
    <phoneticPr fontId="1" type="noConversion"/>
  </si>
  <si>
    <t xml:space="preserve">               True Predicted</t>
    <phoneticPr fontId="1" type="noConversion"/>
  </si>
  <si>
    <t>Background</t>
    <phoneticPr fontId="1" type="noConversion"/>
  </si>
  <si>
    <t>Predicted all</t>
    <phoneticPr fontId="1" type="noConversion"/>
  </si>
  <si>
    <t>True all</t>
    <phoneticPr fontId="1" type="noConversion"/>
  </si>
  <si>
    <t>Accuracy</t>
  </si>
  <si>
    <t>F1-score</t>
  </si>
  <si>
    <t>pe</t>
    <phoneticPr fontId="1" type="noConversion"/>
  </si>
  <si>
    <t>kappa</t>
    <phoneticPr fontId="1" type="noConversion"/>
  </si>
  <si>
    <t>po</t>
    <phoneticPr fontId="1" type="noConversion"/>
  </si>
  <si>
    <t>mean</t>
    <phoneticPr fontId="1" type="noConversion"/>
  </si>
  <si>
    <t>Specificity</t>
  </si>
  <si>
    <t>病例個數</t>
    <phoneticPr fontId="8" type="noConversion"/>
  </si>
  <si>
    <t>圖總數</t>
    <phoneticPr fontId="8" type="noConversion"/>
  </si>
  <si>
    <t>病例數</t>
  </si>
  <si>
    <t>圖片數量</t>
  </si>
  <si>
    <t>SCC</t>
  </si>
  <si>
    <t>出血</t>
  </si>
  <si>
    <t>發炎</t>
  </si>
  <si>
    <t>通道</t>
  </si>
  <si>
    <t>賁門</t>
  </si>
  <si>
    <t>異物</t>
  </si>
  <si>
    <t>器械</t>
  </si>
  <si>
    <t>人造資訊</t>
  </si>
  <si>
    <t>氣泡</t>
  </si>
  <si>
    <t>反光</t>
  </si>
  <si>
    <t>全部</t>
    <phoneticPr fontId="1" type="noConversion"/>
  </si>
  <si>
    <t>測試集20%</t>
    <phoneticPr fontId="1" type="noConversion"/>
  </si>
  <si>
    <t>2067張</t>
    <phoneticPr fontId="1" type="noConversion"/>
  </si>
  <si>
    <t>413張</t>
    <phoneticPr fontId="1" type="noConversion"/>
  </si>
  <si>
    <t>測試集30%</t>
    <phoneticPr fontId="1" type="noConversion"/>
  </si>
  <si>
    <t>620張</t>
    <phoneticPr fontId="1" type="noConversion"/>
  </si>
  <si>
    <r>
      <t>WLI_</t>
    </r>
    <r>
      <rPr>
        <b/>
        <sz val="14"/>
        <color theme="1"/>
        <rFont val="標楷體"/>
        <family val="4"/>
        <charset val="136"/>
      </rPr>
      <t>比例</t>
    </r>
    <phoneticPr fontId="1" type="noConversion"/>
  </si>
  <si>
    <r>
      <t>WLI_</t>
    </r>
    <r>
      <rPr>
        <b/>
        <sz val="14"/>
        <color theme="1"/>
        <rFont val="標楷體"/>
        <family val="4"/>
        <charset val="136"/>
      </rPr>
      <t>個數</t>
    </r>
    <phoneticPr fontId="1" type="noConversion"/>
  </si>
  <si>
    <t>結果</t>
    <phoneticPr fontId="1" type="noConversion"/>
  </si>
  <si>
    <t>表格輸出</t>
    <phoneticPr fontId="8" type="noConversion"/>
  </si>
  <si>
    <t>測試集25%</t>
    <phoneticPr fontId="1" type="noConversion"/>
  </si>
  <si>
    <t>517張</t>
    <phoneticPr fontId="1" type="noConversion"/>
  </si>
  <si>
    <t>AP</t>
    <phoneticPr fontId="1" type="noConversion"/>
  </si>
  <si>
    <t>WLI-2023</t>
    <phoneticPr fontId="1" type="noConversion"/>
  </si>
  <si>
    <t>WLI-1554</t>
    <phoneticPr fontId="1" type="noConversion"/>
  </si>
  <si>
    <t>結果</t>
  </si>
  <si>
    <t>AP</t>
  </si>
  <si>
    <t>Kappa</t>
  </si>
  <si>
    <t>RGB-WLI</t>
  </si>
  <si>
    <t>mean</t>
  </si>
  <si>
    <t>others</t>
    <phoneticPr fontId="1" type="noConversion"/>
  </si>
  <si>
    <t>其他</t>
    <phoneticPr fontId="1" type="noConversion"/>
  </si>
  <si>
    <r>
      <t>HSI_</t>
    </r>
    <r>
      <rPr>
        <b/>
        <sz val="14"/>
        <color theme="1"/>
        <rFont val="標楷體"/>
        <family val="4"/>
        <charset val="136"/>
      </rPr>
      <t>比例</t>
    </r>
    <phoneticPr fontId="1" type="noConversion"/>
  </si>
  <si>
    <t>HSI-NBI</t>
    <phoneticPr fontId="1" type="noConversion"/>
  </si>
  <si>
    <r>
      <t>HSI_</t>
    </r>
    <r>
      <rPr>
        <b/>
        <sz val="14"/>
        <color theme="1"/>
        <rFont val="標楷體"/>
        <family val="4"/>
        <charset val="136"/>
      </rPr>
      <t>個數</t>
    </r>
    <phoneticPr fontId="1" type="noConversion"/>
  </si>
  <si>
    <t>1860張</t>
    <phoneticPr fontId="1" type="noConversion"/>
  </si>
  <si>
    <t>訓練集90%</t>
    <phoneticPr fontId="1" type="noConversion"/>
  </si>
  <si>
    <t>訓練集</t>
  </si>
  <si>
    <t>訓練集</t>
    <phoneticPr fontId="1" type="noConversion"/>
  </si>
  <si>
    <t>Total</t>
    <phoneticPr fontId="8" type="noConversion"/>
  </si>
  <si>
    <t>分級</t>
    <phoneticPr fontId="8" type="noConversion"/>
  </si>
  <si>
    <t>Dysplasia</t>
    <phoneticPr fontId="1" type="noConversion"/>
  </si>
  <si>
    <t>Normal</t>
    <phoneticPr fontId="1" type="noConversion"/>
  </si>
  <si>
    <t>資料集</t>
    <phoneticPr fontId="1" type="noConversion"/>
  </si>
  <si>
    <t>1447張</t>
    <phoneticPr fontId="1" type="noConversion"/>
  </si>
  <si>
    <t>類別</t>
    <phoneticPr fontId="1" type="noConversion"/>
  </si>
  <si>
    <t>驗證集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</si>
</sst>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49" fontId="7" fillId="12" borderId="11" xfId="0" applyNumberFormat="1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49" fontId="7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9" fillId="1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0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6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 wrapText="1" readingOrder="1"/>
    </xf>
    <xf numFmtId="0" fontId="6" fillId="16" borderId="1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 readingOrder="1"/>
    </xf>
    <xf numFmtId="0" fontId="6" fillId="8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9" fillId="19" borderId="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9" fontId="5" fillId="20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wrapText="1" readingOrder="1"/>
    </xf>
    <xf numFmtId="0" fontId="5" fillId="21" borderId="1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">
    <cellStyle name="一般" xfId="0" builtinId="0"/>
    <cellStyle name="好_結果" xfId="1" xr:uid="{FB2E848C-5491-4609-B5EE-22BF12A12A53}"/>
    <cellStyle name="壞_結果" xfId="2" xr:uid="{13FC4C15-DC4D-4A91-9592-E9969D3EF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4E0C-48BE-496A-A5BE-DF1CD513D505}">
  <dimension ref="B1:Q25"/>
  <sheetViews>
    <sheetView tabSelected="1" workbookViewId="0">
      <selection activeCell="B26" sqref="B26"/>
    </sheetView>
  </sheetViews>
  <sheetFormatPr defaultRowHeight="16.5" x14ac:dyDescent="0.25"/>
  <cols>
    <col min="4" max="4" width="10.75" bestFit="1" customWidth="1"/>
    <col min="5" max="5" width="9.25" bestFit="1" customWidth="1"/>
    <col min="6" max="6" width="11.875" bestFit="1" customWidth="1"/>
    <col min="7" max="14" width="12.625" customWidth="1"/>
  </cols>
  <sheetData>
    <row r="1" spans="2:17" ht="17.25" thickBot="1" x14ac:dyDescent="0.3"/>
    <row r="2" spans="2:17" x14ac:dyDescent="0.25">
      <c r="B2" s="22" t="s">
        <v>20</v>
      </c>
      <c r="C2" s="24">
        <v>143</v>
      </c>
    </row>
    <row r="3" spans="2:17" ht="17.25" thickBot="1" x14ac:dyDescent="0.3">
      <c r="B3" s="23" t="s">
        <v>21</v>
      </c>
      <c r="C3" s="25">
        <v>2067</v>
      </c>
    </row>
    <row r="5" spans="2:17" ht="17.25" thickBot="1" x14ac:dyDescent="0.3"/>
    <row r="6" spans="2:17" ht="20.25" thickBot="1" x14ac:dyDescent="0.3">
      <c r="D6" s="81" t="s">
        <v>64</v>
      </c>
      <c r="E6" s="82" t="s">
        <v>22</v>
      </c>
      <c r="F6" s="81" t="s">
        <v>23</v>
      </c>
    </row>
    <row r="7" spans="2:17" ht="19.5" x14ac:dyDescent="0.25">
      <c r="D7" s="70" t="s">
        <v>66</v>
      </c>
      <c r="E7" s="71">
        <v>67</v>
      </c>
      <c r="F7" s="72">
        <v>1258</v>
      </c>
    </row>
    <row r="8" spans="2:17" ht="19.5" x14ac:dyDescent="0.25">
      <c r="D8" s="73" t="s">
        <v>65</v>
      </c>
      <c r="E8" s="74">
        <v>47</v>
      </c>
      <c r="F8" s="75">
        <v>441</v>
      </c>
    </row>
    <row r="9" spans="2:17" ht="20.25" thickBot="1" x14ac:dyDescent="0.3">
      <c r="D9" s="76" t="s">
        <v>24</v>
      </c>
      <c r="E9" s="77">
        <v>29</v>
      </c>
      <c r="F9" s="78">
        <v>368</v>
      </c>
    </row>
    <row r="10" spans="2:17" ht="20.25" thickBot="1" x14ac:dyDescent="0.3">
      <c r="D10" s="5" t="s">
        <v>63</v>
      </c>
      <c r="E10" s="79">
        <f>SUM(E7:E9)</f>
        <v>143</v>
      </c>
      <c r="F10" s="80">
        <f>SUM(F7:F9)</f>
        <v>2067</v>
      </c>
    </row>
    <row r="11" spans="2:17" ht="17.25" thickBot="1" x14ac:dyDescent="0.3"/>
    <row r="12" spans="2:17" ht="26.25" thickBot="1" x14ac:dyDescent="0.3">
      <c r="G12" s="102" t="s">
        <v>67</v>
      </c>
      <c r="H12" s="102" t="s">
        <v>36</v>
      </c>
      <c r="J12" s="86" t="s">
        <v>61</v>
      </c>
      <c r="K12" s="85" t="s">
        <v>68</v>
      </c>
      <c r="M12" s="3" t="s">
        <v>70</v>
      </c>
      <c r="N12" s="3" t="s">
        <v>39</v>
      </c>
      <c r="P12" s="36"/>
      <c r="Q12" s="36"/>
    </row>
    <row r="13" spans="2:17" ht="20.25" thickBot="1" x14ac:dyDescent="0.3">
      <c r="G13" s="83" t="s">
        <v>69</v>
      </c>
      <c r="H13" s="16" t="s">
        <v>8</v>
      </c>
      <c r="J13" s="84" t="s">
        <v>69</v>
      </c>
      <c r="K13" s="16" t="s">
        <v>8</v>
      </c>
      <c r="M13" s="84" t="s">
        <v>69</v>
      </c>
      <c r="N13" s="16" t="s">
        <v>8</v>
      </c>
      <c r="P13" s="40"/>
      <c r="Q13" s="6"/>
    </row>
    <row r="14" spans="2:17" ht="19.5" thickBot="1" x14ac:dyDescent="0.3">
      <c r="G14" s="52" t="s">
        <v>6</v>
      </c>
      <c r="H14" s="1">
        <v>1360</v>
      </c>
      <c r="J14" s="52" t="s">
        <v>6</v>
      </c>
      <c r="K14" s="1">
        <v>899</v>
      </c>
      <c r="M14" s="52" t="s">
        <v>6</v>
      </c>
      <c r="N14" s="1">
        <v>461</v>
      </c>
      <c r="P14" s="51"/>
      <c r="Q14" s="6"/>
    </row>
    <row r="15" spans="2:17" ht="19.5" thickBot="1" x14ac:dyDescent="0.3">
      <c r="G15" s="52" t="s">
        <v>24</v>
      </c>
      <c r="H15" s="1">
        <v>230</v>
      </c>
      <c r="J15" s="52" t="s">
        <v>24</v>
      </c>
      <c r="K15" s="1">
        <v>157</v>
      </c>
      <c r="M15" s="52" t="s">
        <v>24</v>
      </c>
      <c r="N15" s="1">
        <v>73</v>
      </c>
      <c r="P15" s="51"/>
      <c r="Q15" s="6"/>
    </row>
    <row r="16" spans="2:17" ht="20.25" thickBot="1" x14ac:dyDescent="0.3">
      <c r="G16" s="4" t="s">
        <v>25</v>
      </c>
      <c r="H16" s="1">
        <v>384</v>
      </c>
      <c r="J16" s="63" t="s">
        <v>25</v>
      </c>
      <c r="K16" s="1">
        <v>262</v>
      </c>
      <c r="M16" s="63" t="s">
        <v>25</v>
      </c>
      <c r="N16" s="1">
        <v>122</v>
      </c>
      <c r="P16" s="41"/>
      <c r="Q16" s="6"/>
    </row>
    <row r="17" spans="7:17" ht="20.25" thickBot="1" x14ac:dyDescent="0.3">
      <c r="G17" s="4" t="s">
        <v>26</v>
      </c>
      <c r="H17" s="1">
        <v>132</v>
      </c>
      <c r="J17" s="63" t="s">
        <v>26</v>
      </c>
      <c r="K17" s="1">
        <v>113</v>
      </c>
      <c r="M17" s="63" t="s">
        <v>26</v>
      </c>
      <c r="N17" s="1">
        <v>19</v>
      </c>
      <c r="P17" s="41"/>
      <c r="Q17" s="6"/>
    </row>
    <row r="18" spans="7:17" ht="20.25" thickBot="1" x14ac:dyDescent="0.3">
      <c r="G18" s="4" t="s">
        <v>27</v>
      </c>
      <c r="H18" s="1">
        <v>1296</v>
      </c>
      <c r="J18" s="63" t="s">
        <v>27</v>
      </c>
      <c r="K18" s="1">
        <v>901</v>
      </c>
      <c r="M18" s="63" t="s">
        <v>27</v>
      </c>
      <c r="N18" s="1">
        <v>395</v>
      </c>
      <c r="P18" s="41"/>
      <c r="Q18" s="6"/>
    </row>
    <row r="19" spans="7:17" ht="20.25" thickBot="1" x14ac:dyDescent="0.3">
      <c r="G19" s="4" t="s">
        <v>28</v>
      </c>
      <c r="H19" s="1">
        <v>334</v>
      </c>
      <c r="J19" s="63" t="s">
        <v>28</v>
      </c>
      <c r="K19" s="1">
        <v>235</v>
      </c>
      <c r="M19" s="63" t="s">
        <v>28</v>
      </c>
      <c r="N19" s="1">
        <v>99</v>
      </c>
      <c r="P19" s="41"/>
      <c r="Q19" s="6"/>
    </row>
    <row r="20" spans="7:17" ht="20.25" thickBot="1" x14ac:dyDescent="0.3">
      <c r="G20" s="4" t="s">
        <v>29</v>
      </c>
      <c r="H20" s="1">
        <v>1419</v>
      </c>
      <c r="J20" s="63" t="s">
        <v>29</v>
      </c>
      <c r="K20" s="1">
        <v>961</v>
      </c>
      <c r="M20" s="63" t="s">
        <v>29</v>
      </c>
      <c r="N20" s="1">
        <v>458</v>
      </c>
      <c r="P20" s="41"/>
      <c r="Q20" s="6"/>
    </row>
    <row r="21" spans="7:17" ht="20.25" thickBot="1" x14ac:dyDescent="0.3">
      <c r="G21" s="63" t="s">
        <v>30</v>
      </c>
      <c r="H21" s="1">
        <v>53</v>
      </c>
      <c r="J21" s="63" t="s">
        <v>30</v>
      </c>
      <c r="K21" s="1">
        <v>37</v>
      </c>
      <c r="M21" s="63" t="s">
        <v>30</v>
      </c>
      <c r="N21" s="1">
        <v>16</v>
      </c>
      <c r="P21" s="41"/>
      <c r="Q21" s="6"/>
    </row>
    <row r="22" spans="7:17" ht="20.25" thickBot="1" x14ac:dyDescent="0.3">
      <c r="G22" s="63" t="s">
        <v>31</v>
      </c>
      <c r="H22" s="1">
        <v>751</v>
      </c>
      <c r="J22" s="63" t="s">
        <v>31</v>
      </c>
      <c r="K22" s="1">
        <v>536</v>
      </c>
      <c r="M22" s="63" t="s">
        <v>31</v>
      </c>
      <c r="N22" s="1">
        <v>215</v>
      </c>
      <c r="P22" s="41"/>
      <c r="Q22" s="6"/>
    </row>
    <row r="23" spans="7:17" ht="20.25" thickBot="1" x14ac:dyDescent="0.3">
      <c r="G23" s="63" t="s">
        <v>32</v>
      </c>
      <c r="H23" s="1">
        <v>1494</v>
      </c>
      <c r="J23" s="63" t="s">
        <v>32</v>
      </c>
      <c r="K23" s="1">
        <v>1067</v>
      </c>
      <c r="M23" s="63" t="s">
        <v>32</v>
      </c>
      <c r="N23" s="1">
        <v>427</v>
      </c>
      <c r="P23" s="41"/>
      <c r="Q23" s="6"/>
    </row>
    <row r="24" spans="7:17" ht="20.25" thickBot="1" x14ac:dyDescent="0.3">
      <c r="G24" s="63" t="s">
        <v>33</v>
      </c>
      <c r="H24" s="1">
        <v>4666</v>
      </c>
      <c r="J24" s="63" t="s">
        <v>33</v>
      </c>
      <c r="K24" s="1">
        <v>3292</v>
      </c>
      <c r="M24" s="63" t="s">
        <v>33</v>
      </c>
      <c r="N24" s="1">
        <v>1374</v>
      </c>
      <c r="P24" s="41"/>
      <c r="Q24" s="6"/>
    </row>
    <row r="25" spans="7:17" ht="19.5" thickBot="1" x14ac:dyDescent="0.3">
      <c r="G25" s="33" t="s">
        <v>7</v>
      </c>
      <c r="H25" s="5">
        <f>SUM(H14:H24)</f>
        <v>12119</v>
      </c>
      <c r="J25" s="33" t="s">
        <v>7</v>
      </c>
      <c r="K25" s="5">
        <v>8460</v>
      </c>
      <c r="M25" s="33" t="s">
        <v>7</v>
      </c>
      <c r="N25" s="5">
        <f>SUM(N14:N24)</f>
        <v>3659</v>
      </c>
      <c r="P25" s="6"/>
      <c r="Q25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D7A5-F61A-41A9-B0C4-5750D154D4D2}">
  <dimension ref="A1:O53"/>
  <sheetViews>
    <sheetView topLeftCell="A4" zoomScale="85" zoomScaleNormal="85" workbookViewId="0">
      <selection activeCell="R29" sqref="R29"/>
    </sheetView>
  </sheetViews>
  <sheetFormatPr defaultRowHeight="16.5" x14ac:dyDescent="0.25"/>
  <cols>
    <col min="1" max="1" width="11" bestFit="1" customWidth="1"/>
    <col min="3" max="3" width="11.875" bestFit="1" customWidth="1"/>
    <col min="4" max="4" width="11.875" customWidth="1"/>
    <col min="5" max="5" width="13.25" bestFit="1" customWidth="1"/>
    <col min="6" max="7" width="14.625" customWidth="1"/>
    <col min="8" max="8" width="16.125" bestFit="1" customWidth="1"/>
    <col min="9" max="10" width="14.625" customWidth="1"/>
    <col min="11" max="11" width="16.125" bestFit="1" customWidth="1"/>
    <col min="12" max="17" width="14.625" customWidth="1"/>
  </cols>
  <sheetData>
    <row r="1" spans="1:15" x14ac:dyDescent="0.25">
      <c r="E1" s="27"/>
      <c r="F1" s="27"/>
      <c r="G1" s="26"/>
      <c r="H1" s="26"/>
      <c r="I1" s="26"/>
      <c r="J1" s="26"/>
    </row>
    <row r="2" spans="1:15" x14ac:dyDescent="0.25">
      <c r="A2" s="28"/>
      <c r="B2" s="27"/>
      <c r="E2" s="28"/>
      <c r="F2" s="27"/>
      <c r="G2" s="26"/>
      <c r="H2" s="26"/>
      <c r="I2" s="26"/>
      <c r="J2" s="26"/>
    </row>
    <row r="3" spans="1:15" x14ac:dyDescent="0.25">
      <c r="A3" s="30"/>
      <c r="B3" s="27"/>
      <c r="E3" s="30"/>
      <c r="F3" s="27"/>
      <c r="G3" s="26"/>
      <c r="H3" s="26"/>
      <c r="I3" s="26"/>
      <c r="J3" s="26"/>
    </row>
    <row r="4" spans="1:15" x14ac:dyDescent="0.25">
      <c r="E4" s="30"/>
      <c r="F4" s="26"/>
      <c r="G4" s="26"/>
      <c r="H4" s="26"/>
      <c r="I4" s="26"/>
      <c r="J4" s="26"/>
    </row>
    <row r="5" spans="1:15" ht="17.25" thickBot="1" x14ac:dyDescent="0.3"/>
    <row r="6" spans="1:15" ht="26.25" thickBot="1" x14ac:dyDescent="0.3">
      <c r="E6" s="3" t="s">
        <v>67</v>
      </c>
      <c r="F6" s="3" t="s">
        <v>36</v>
      </c>
      <c r="G6" s="7"/>
      <c r="H6" s="3" t="s">
        <v>48</v>
      </c>
      <c r="I6" s="3" t="s">
        <v>59</v>
      </c>
      <c r="K6" s="3">
        <v>1554</v>
      </c>
      <c r="L6" s="39">
        <v>0.3</v>
      </c>
      <c r="M6" s="37"/>
      <c r="N6" s="3" t="s">
        <v>48</v>
      </c>
      <c r="O6" s="39">
        <v>0.7</v>
      </c>
    </row>
    <row r="7" spans="1:15" ht="20.25" thickBot="1" x14ac:dyDescent="0.3">
      <c r="A7" s="69"/>
      <c r="B7" s="69"/>
      <c r="C7" s="69"/>
      <c r="D7" s="26"/>
      <c r="E7" s="32" t="s">
        <v>34</v>
      </c>
      <c r="F7" s="1" t="s">
        <v>8</v>
      </c>
      <c r="G7" s="6"/>
      <c r="H7" s="68" t="s">
        <v>60</v>
      </c>
      <c r="I7" s="1" t="s">
        <v>8</v>
      </c>
      <c r="K7" s="38" t="s">
        <v>43</v>
      </c>
      <c r="L7" s="1" t="s">
        <v>8</v>
      </c>
      <c r="M7" s="6"/>
      <c r="N7" s="68" t="s">
        <v>62</v>
      </c>
      <c r="O7" s="1" t="s">
        <v>8</v>
      </c>
    </row>
    <row r="8" spans="1:15" ht="19.5" thickBot="1" x14ac:dyDescent="0.3">
      <c r="A8" s="37"/>
      <c r="B8" s="69"/>
      <c r="C8" s="69"/>
      <c r="D8" s="26"/>
      <c r="E8" s="52" t="s">
        <v>6</v>
      </c>
      <c r="F8" s="1">
        <v>1360</v>
      </c>
      <c r="G8" s="6"/>
      <c r="H8" s="52" t="s">
        <v>6</v>
      </c>
      <c r="I8" s="1">
        <v>1189</v>
      </c>
      <c r="K8" s="52" t="s">
        <v>6</v>
      </c>
      <c r="L8" s="1">
        <v>461</v>
      </c>
      <c r="M8" s="6"/>
      <c r="N8" s="52" t="s">
        <v>6</v>
      </c>
      <c r="O8" s="1">
        <f>F8-L8</f>
        <v>899</v>
      </c>
    </row>
    <row r="9" spans="1:15" ht="19.5" thickBot="1" x14ac:dyDescent="0.3">
      <c r="A9" s="37"/>
      <c r="B9" s="69"/>
      <c r="C9" s="69"/>
      <c r="D9" s="26"/>
      <c r="E9" s="52" t="s">
        <v>24</v>
      </c>
      <c r="F9" s="1">
        <v>230</v>
      </c>
      <c r="G9" s="6"/>
      <c r="H9" s="52" t="s">
        <v>24</v>
      </c>
      <c r="I9" s="1">
        <v>208</v>
      </c>
      <c r="K9" s="52" t="s">
        <v>24</v>
      </c>
      <c r="L9" s="1">
        <v>73</v>
      </c>
      <c r="M9" s="6"/>
      <c r="N9" s="52" t="s">
        <v>24</v>
      </c>
      <c r="O9" s="1">
        <f t="shared" ref="O9:O18" si="0">F9-L9</f>
        <v>157</v>
      </c>
    </row>
    <row r="10" spans="1:15" ht="20.25" thickBot="1" x14ac:dyDescent="0.3">
      <c r="A10" s="37"/>
      <c r="B10" s="69"/>
      <c r="C10" s="69"/>
      <c r="D10" s="26"/>
      <c r="E10" s="4" t="s">
        <v>25</v>
      </c>
      <c r="F10" s="1">
        <v>384</v>
      </c>
      <c r="G10" s="6"/>
      <c r="H10" s="63" t="s">
        <v>25</v>
      </c>
      <c r="I10" s="1">
        <v>348</v>
      </c>
      <c r="K10" s="35" t="s">
        <v>25</v>
      </c>
      <c r="L10" s="1">
        <v>122</v>
      </c>
      <c r="M10" s="6"/>
      <c r="N10" s="63" t="s">
        <v>25</v>
      </c>
      <c r="O10" s="1">
        <f t="shared" si="0"/>
        <v>262</v>
      </c>
    </row>
    <row r="11" spans="1:15" ht="20.25" thickBot="1" x14ac:dyDescent="0.3">
      <c r="A11" s="37"/>
      <c r="B11" s="69"/>
      <c r="C11" s="69"/>
      <c r="E11" s="4" t="s">
        <v>26</v>
      </c>
      <c r="F11" s="1">
        <v>132</v>
      </c>
      <c r="G11" s="6"/>
      <c r="H11" s="63" t="s">
        <v>26</v>
      </c>
      <c r="I11" s="1">
        <v>121</v>
      </c>
      <c r="K11" s="35" t="s">
        <v>26</v>
      </c>
      <c r="L11" s="1">
        <v>19</v>
      </c>
      <c r="M11" s="6"/>
      <c r="N11" s="63" t="s">
        <v>26</v>
      </c>
      <c r="O11" s="1">
        <f t="shared" si="0"/>
        <v>113</v>
      </c>
    </row>
    <row r="12" spans="1:15" ht="20.25" thickBot="1" x14ac:dyDescent="0.3">
      <c r="E12" s="4" t="s">
        <v>27</v>
      </c>
      <c r="F12" s="1">
        <v>1296</v>
      </c>
      <c r="G12" s="6"/>
      <c r="H12" s="63" t="s">
        <v>27</v>
      </c>
      <c r="I12" s="1">
        <v>1159</v>
      </c>
      <c r="K12" s="35" t="s">
        <v>27</v>
      </c>
      <c r="L12" s="1">
        <v>395</v>
      </c>
      <c r="M12" s="27"/>
      <c r="N12" s="63" t="s">
        <v>27</v>
      </c>
      <c r="O12" s="1">
        <f t="shared" si="0"/>
        <v>901</v>
      </c>
    </row>
    <row r="13" spans="1:15" ht="20.25" thickBot="1" x14ac:dyDescent="0.3">
      <c r="E13" s="4" t="s">
        <v>28</v>
      </c>
      <c r="F13" s="1">
        <v>334</v>
      </c>
      <c r="G13" s="6"/>
      <c r="H13" s="63" t="s">
        <v>28</v>
      </c>
      <c r="I13" s="1">
        <v>303</v>
      </c>
      <c r="K13" s="35" t="s">
        <v>28</v>
      </c>
      <c r="L13" s="1">
        <v>99</v>
      </c>
      <c r="N13" s="63" t="s">
        <v>28</v>
      </c>
      <c r="O13" s="1">
        <f t="shared" si="0"/>
        <v>235</v>
      </c>
    </row>
    <row r="14" spans="1:15" ht="20.25" thickBot="1" x14ac:dyDescent="0.3">
      <c r="E14" s="4" t="s">
        <v>29</v>
      </c>
      <c r="F14" s="1">
        <v>1419</v>
      </c>
      <c r="G14" s="6"/>
      <c r="H14" s="63" t="s">
        <v>29</v>
      </c>
      <c r="I14" s="1">
        <v>1280</v>
      </c>
      <c r="K14" s="35" t="s">
        <v>29</v>
      </c>
      <c r="L14" s="1">
        <v>458</v>
      </c>
      <c r="N14" s="63" t="s">
        <v>29</v>
      </c>
      <c r="O14" s="1">
        <f t="shared" si="0"/>
        <v>961</v>
      </c>
    </row>
    <row r="15" spans="1:15" ht="20.25" thickBot="1" x14ac:dyDescent="0.3">
      <c r="A15" s="37"/>
      <c r="B15" s="69"/>
      <c r="C15" s="69"/>
      <c r="E15" s="35" t="s">
        <v>30</v>
      </c>
      <c r="F15" s="1">
        <v>53</v>
      </c>
      <c r="G15" s="6"/>
      <c r="H15" s="63" t="s">
        <v>30</v>
      </c>
      <c r="I15" s="1">
        <v>47</v>
      </c>
      <c r="K15" s="35" t="s">
        <v>30</v>
      </c>
      <c r="L15" s="1">
        <v>16</v>
      </c>
      <c r="N15" s="63" t="s">
        <v>30</v>
      </c>
      <c r="O15" s="1">
        <f t="shared" si="0"/>
        <v>37</v>
      </c>
    </row>
    <row r="16" spans="1:15" ht="20.25" thickBot="1" x14ac:dyDescent="0.3">
      <c r="E16" s="35" t="s">
        <v>31</v>
      </c>
      <c r="F16" s="1">
        <v>751</v>
      </c>
      <c r="G16" s="6"/>
      <c r="H16" s="63" t="s">
        <v>31</v>
      </c>
      <c r="I16" s="1">
        <v>656</v>
      </c>
      <c r="J16" s="27"/>
      <c r="K16" s="35" t="s">
        <v>31</v>
      </c>
      <c r="L16" s="1">
        <v>215</v>
      </c>
      <c r="N16" s="63" t="s">
        <v>31</v>
      </c>
      <c r="O16" s="1">
        <f t="shared" si="0"/>
        <v>536</v>
      </c>
    </row>
    <row r="17" spans="3:15" ht="20.25" thickBot="1" x14ac:dyDescent="0.3">
      <c r="E17" s="35" t="s">
        <v>32</v>
      </c>
      <c r="F17" s="1">
        <v>1494</v>
      </c>
      <c r="G17" s="6"/>
      <c r="H17" s="63" t="s">
        <v>32</v>
      </c>
      <c r="I17" s="1">
        <v>1370</v>
      </c>
      <c r="J17" s="27"/>
      <c r="K17" s="35" t="s">
        <v>32</v>
      </c>
      <c r="L17" s="1">
        <v>427</v>
      </c>
      <c r="N17" s="63" t="s">
        <v>32</v>
      </c>
      <c r="O17" s="1">
        <f t="shared" si="0"/>
        <v>1067</v>
      </c>
    </row>
    <row r="18" spans="3:15" ht="20.25" thickBot="1" x14ac:dyDescent="0.3">
      <c r="E18" s="35" t="s">
        <v>33</v>
      </c>
      <c r="F18" s="1">
        <v>4666</v>
      </c>
      <c r="G18" s="6"/>
      <c r="H18" s="63" t="s">
        <v>33</v>
      </c>
      <c r="I18" s="1">
        <v>4196</v>
      </c>
      <c r="J18" s="27"/>
      <c r="K18" s="35" t="s">
        <v>33</v>
      </c>
      <c r="L18" s="1">
        <v>1374</v>
      </c>
      <c r="N18" s="63" t="s">
        <v>33</v>
      </c>
      <c r="O18" s="1">
        <f t="shared" si="0"/>
        <v>3292</v>
      </c>
    </row>
    <row r="19" spans="3:15" ht="19.5" thickBot="1" x14ac:dyDescent="0.3">
      <c r="E19" s="33" t="s">
        <v>7</v>
      </c>
      <c r="F19" s="5">
        <f>SUM(F8:F18)</f>
        <v>12119</v>
      </c>
      <c r="G19" s="6"/>
      <c r="H19" s="33" t="s">
        <v>7</v>
      </c>
      <c r="I19" s="5">
        <f>SUM(I8:I18)</f>
        <v>10877</v>
      </c>
      <c r="J19" s="27"/>
      <c r="K19" s="33" t="s">
        <v>7</v>
      </c>
      <c r="L19" s="5">
        <f>SUM(L8:L18)</f>
        <v>3659</v>
      </c>
      <c r="N19" s="33" t="s">
        <v>7</v>
      </c>
      <c r="O19" s="5">
        <f>SUM(O8:O18)</f>
        <v>8460</v>
      </c>
    </row>
    <row r="20" spans="3:15" x14ac:dyDescent="0.25">
      <c r="H20" s="27"/>
      <c r="I20" s="28"/>
      <c r="J20" s="29"/>
      <c r="K20" s="27"/>
    </row>
    <row r="21" spans="3:15" x14ac:dyDescent="0.25">
      <c r="H21" s="27"/>
      <c r="I21" s="30"/>
      <c r="J21" s="31"/>
      <c r="K21" s="27"/>
    </row>
    <row r="22" spans="3:15" ht="17.25" thickBot="1" x14ac:dyDescent="0.3">
      <c r="H22" s="27"/>
      <c r="I22" s="27"/>
      <c r="J22" s="27"/>
      <c r="K22" s="27"/>
    </row>
    <row r="23" spans="3:15" ht="26.25" thickBot="1" x14ac:dyDescent="0.3">
      <c r="C23" s="27"/>
      <c r="D23" s="27"/>
      <c r="E23" s="3" t="s">
        <v>48</v>
      </c>
      <c r="F23" s="3" t="s">
        <v>37</v>
      </c>
      <c r="G23" s="27"/>
      <c r="H23" s="3" t="s">
        <v>48</v>
      </c>
      <c r="I23" s="3" t="s">
        <v>45</v>
      </c>
      <c r="J23" s="27"/>
      <c r="K23" s="3" t="s">
        <v>48</v>
      </c>
      <c r="L23" s="3" t="s">
        <v>39</v>
      </c>
      <c r="M23" s="27"/>
      <c r="N23" s="27"/>
      <c r="O23" s="27"/>
    </row>
    <row r="24" spans="3:15" ht="20.25" thickBot="1" x14ac:dyDescent="0.3">
      <c r="C24" s="27"/>
      <c r="D24" s="27"/>
      <c r="E24" s="34" t="s">
        <v>35</v>
      </c>
      <c r="F24" s="1" t="s">
        <v>8</v>
      </c>
      <c r="G24" s="27"/>
      <c r="H24" s="34" t="s">
        <v>44</v>
      </c>
      <c r="I24" s="1" t="s">
        <v>8</v>
      </c>
      <c r="J24" s="27"/>
      <c r="K24" s="34" t="s">
        <v>38</v>
      </c>
      <c r="L24" s="1" t="s">
        <v>8</v>
      </c>
      <c r="M24" s="27"/>
      <c r="N24" s="27"/>
      <c r="O24" s="27"/>
    </row>
    <row r="25" spans="3:15" ht="19.5" thickBot="1" x14ac:dyDescent="0.3">
      <c r="C25" s="27"/>
      <c r="D25" s="27"/>
      <c r="E25" s="52" t="s">
        <v>6</v>
      </c>
      <c r="F25" s="1">
        <v>246</v>
      </c>
      <c r="G25" s="27"/>
      <c r="H25" s="52" t="s">
        <v>6</v>
      </c>
      <c r="I25" s="1">
        <v>399</v>
      </c>
      <c r="J25" s="27"/>
      <c r="K25" s="52" t="s">
        <v>6</v>
      </c>
      <c r="L25" s="1">
        <v>461</v>
      </c>
      <c r="M25" s="27"/>
      <c r="N25" s="27"/>
      <c r="O25" s="27"/>
    </row>
    <row r="26" spans="3:15" ht="19.5" thickBot="1" x14ac:dyDescent="0.3">
      <c r="C26" s="27"/>
      <c r="D26" s="27"/>
      <c r="E26" s="53" t="s">
        <v>24</v>
      </c>
      <c r="F26" s="1">
        <v>37</v>
      </c>
      <c r="G26" s="37"/>
      <c r="H26" s="52" t="s">
        <v>24</v>
      </c>
      <c r="I26" s="1">
        <v>57</v>
      </c>
      <c r="J26" s="27"/>
      <c r="K26" s="52" t="s">
        <v>24</v>
      </c>
      <c r="L26" s="1">
        <v>73</v>
      </c>
      <c r="M26" s="37"/>
      <c r="N26" s="37"/>
      <c r="O26" s="27"/>
    </row>
    <row r="27" spans="3:15" ht="20.25" thickBot="1" x14ac:dyDescent="0.3">
      <c r="C27" s="27"/>
      <c r="D27" s="27"/>
      <c r="E27" s="48" t="s">
        <v>25</v>
      </c>
      <c r="F27" s="1">
        <v>74</v>
      </c>
      <c r="G27" s="6"/>
      <c r="H27" s="35" t="s">
        <v>25</v>
      </c>
      <c r="I27" s="1">
        <v>99</v>
      </c>
      <c r="J27" s="27"/>
      <c r="K27" s="48" t="s">
        <v>25</v>
      </c>
      <c r="L27" s="1">
        <v>122</v>
      </c>
      <c r="M27" s="6"/>
      <c r="N27" s="6"/>
      <c r="O27" s="27"/>
    </row>
    <row r="28" spans="3:15" ht="20.25" thickBot="1" x14ac:dyDescent="0.3">
      <c r="C28" s="27"/>
      <c r="D28" s="27"/>
      <c r="E28" s="48" t="s">
        <v>26</v>
      </c>
      <c r="F28" s="1">
        <v>22</v>
      </c>
      <c r="G28" s="6"/>
      <c r="H28" s="35" t="s">
        <v>26</v>
      </c>
      <c r="I28" s="1">
        <v>17</v>
      </c>
      <c r="J28" s="27"/>
      <c r="K28" s="48" t="s">
        <v>26</v>
      </c>
      <c r="L28" s="1">
        <v>19</v>
      </c>
      <c r="M28" s="6"/>
      <c r="N28" s="6"/>
      <c r="O28" s="27"/>
    </row>
    <row r="29" spans="3:15" ht="20.25" thickBot="1" x14ac:dyDescent="0.3">
      <c r="C29" s="27"/>
      <c r="D29" s="27"/>
      <c r="E29" s="48" t="s">
        <v>27</v>
      </c>
      <c r="F29" s="1">
        <v>231</v>
      </c>
      <c r="G29" s="6"/>
      <c r="H29" s="35" t="s">
        <v>27</v>
      </c>
      <c r="I29" s="1">
        <v>332</v>
      </c>
      <c r="J29" s="27"/>
      <c r="K29" s="48" t="s">
        <v>27</v>
      </c>
      <c r="L29" s="1">
        <v>395</v>
      </c>
      <c r="M29" s="6"/>
      <c r="N29" s="6"/>
      <c r="O29" s="27"/>
    </row>
    <row r="30" spans="3:15" ht="20.25" thickBot="1" x14ac:dyDescent="0.3">
      <c r="C30" s="27"/>
      <c r="D30" s="27"/>
      <c r="E30" s="48" t="s">
        <v>28</v>
      </c>
      <c r="F30" s="1">
        <v>85</v>
      </c>
      <c r="G30" s="6"/>
      <c r="H30" s="35" t="s">
        <v>28</v>
      </c>
      <c r="I30" s="1">
        <v>84</v>
      </c>
      <c r="J30" s="27"/>
      <c r="K30" s="48" t="s">
        <v>28</v>
      </c>
      <c r="L30" s="1">
        <v>99</v>
      </c>
      <c r="M30" s="6"/>
      <c r="N30" s="6"/>
      <c r="O30" s="27"/>
    </row>
    <row r="31" spans="3:15" ht="20.25" thickBot="1" x14ac:dyDescent="0.3">
      <c r="C31" s="27"/>
      <c r="D31" s="27"/>
      <c r="E31" s="48" t="s">
        <v>29</v>
      </c>
      <c r="F31" s="1">
        <v>271</v>
      </c>
      <c r="G31" s="6"/>
      <c r="H31" s="35" t="s">
        <v>29</v>
      </c>
      <c r="I31" s="1">
        <v>386</v>
      </c>
      <c r="J31" s="27"/>
      <c r="K31" s="48" t="s">
        <v>29</v>
      </c>
      <c r="L31" s="1">
        <v>458</v>
      </c>
      <c r="M31" s="6"/>
      <c r="N31" s="6"/>
      <c r="O31" s="27"/>
    </row>
    <row r="32" spans="3:15" ht="20.25" thickBot="1" x14ac:dyDescent="0.3">
      <c r="C32" s="27"/>
      <c r="D32" s="27"/>
      <c r="E32" s="48" t="s">
        <v>30</v>
      </c>
      <c r="F32" s="1">
        <v>11</v>
      </c>
      <c r="G32" s="27"/>
      <c r="H32" s="35" t="s">
        <v>30</v>
      </c>
      <c r="I32" s="1">
        <v>13</v>
      </c>
      <c r="J32" s="27"/>
      <c r="K32" s="48" t="s">
        <v>30</v>
      </c>
      <c r="L32" s="1">
        <v>16</v>
      </c>
      <c r="M32" s="27"/>
      <c r="N32" s="27"/>
      <c r="O32" s="27"/>
    </row>
    <row r="33" spans="3:15" ht="20.25" thickBot="1" x14ac:dyDescent="0.3">
      <c r="C33" s="27"/>
      <c r="D33" s="27"/>
      <c r="E33" s="48" t="s">
        <v>31</v>
      </c>
      <c r="F33" s="1">
        <v>137</v>
      </c>
      <c r="G33" s="27"/>
      <c r="H33" s="35" t="s">
        <v>31</v>
      </c>
      <c r="I33" s="1">
        <v>189</v>
      </c>
      <c r="J33" s="27"/>
      <c r="K33" s="48" t="s">
        <v>31</v>
      </c>
      <c r="L33" s="1">
        <v>215</v>
      </c>
      <c r="M33" s="27"/>
      <c r="N33" s="27"/>
      <c r="O33" s="27"/>
    </row>
    <row r="34" spans="3:15" ht="20.25" thickBot="1" x14ac:dyDescent="0.3">
      <c r="C34" s="27"/>
      <c r="D34" s="27"/>
      <c r="E34" s="48" t="s">
        <v>32</v>
      </c>
      <c r="F34" s="1">
        <v>339</v>
      </c>
      <c r="G34" s="27"/>
      <c r="H34" s="35" t="s">
        <v>32</v>
      </c>
      <c r="I34" s="1">
        <v>359</v>
      </c>
      <c r="J34" s="27"/>
      <c r="K34" s="48" t="s">
        <v>32</v>
      </c>
      <c r="L34" s="1">
        <v>427</v>
      </c>
      <c r="M34" s="27"/>
      <c r="N34" s="27"/>
      <c r="O34" s="27"/>
    </row>
    <row r="35" spans="3:15" ht="20.25" thickBot="1" x14ac:dyDescent="0.3">
      <c r="E35" s="48" t="s">
        <v>33</v>
      </c>
      <c r="F35" s="1">
        <v>945</v>
      </c>
      <c r="H35" s="35" t="s">
        <v>33</v>
      </c>
      <c r="I35" s="1">
        <v>1174</v>
      </c>
      <c r="K35" s="48" t="s">
        <v>33</v>
      </c>
      <c r="L35" s="1">
        <v>1374</v>
      </c>
    </row>
    <row r="36" spans="3:15" ht="19.5" thickBot="1" x14ac:dyDescent="0.3">
      <c r="E36" s="33" t="s">
        <v>7</v>
      </c>
      <c r="F36" s="5">
        <f>SUM(F25:F35)</f>
        <v>2398</v>
      </c>
      <c r="H36" s="33" t="s">
        <v>7</v>
      </c>
      <c r="I36" s="5">
        <f>SUM(I25:I35)</f>
        <v>3109</v>
      </c>
      <c r="K36" s="33" t="s">
        <v>7</v>
      </c>
      <c r="L36" s="5">
        <f>SUM(L25:L35)</f>
        <v>3659</v>
      </c>
    </row>
    <row r="39" spans="3:15" ht="17.25" thickBot="1" x14ac:dyDescent="0.3"/>
    <row r="40" spans="3:15" ht="26.25" thickBot="1" x14ac:dyDescent="0.3">
      <c r="K40" s="3" t="s">
        <v>47</v>
      </c>
      <c r="L40" s="3" t="s">
        <v>39</v>
      </c>
    </row>
    <row r="41" spans="3:15" ht="20.25" thickBot="1" x14ac:dyDescent="0.3">
      <c r="K41" s="34" t="s">
        <v>38</v>
      </c>
      <c r="L41" s="1" t="s">
        <v>8</v>
      </c>
    </row>
    <row r="42" spans="3:15" ht="19.5" thickBot="1" x14ac:dyDescent="0.3">
      <c r="K42" s="52" t="s">
        <v>6</v>
      </c>
      <c r="L42" s="1">
        <v>363</v>
      </c>
    </row>
    <row r="43" spans="3:15" ht="19.5" thickBot="1" x14ac:dyDescent="0.3">
      <c r="K43" s="52" t="s">
        <v>24</v>
      </c>
      <c r="L43" s="1">
        <v>65</v>
      </c>
    </row>
    <row r="44" spans="3:15" ht="20.25" thickBot="1" x14ac:dyDescent="0.3">
      <c r="K44" s="49" t="s">
        <v>25</v>
      </c>
      <c r="L44" s="1">
        <v>120</v>
      </c>
    </row>
    <row r="45" spans="3:15" ht="20.25" thickBot="1" x14ac:dyDescent="0.3">
      <c r="K45" s="49" t="s">
        <v>26</v>
      </c>
      <c r="L45" s="1">
        <v>39</v>
      </c>
    </row>
    <row r="46" spans="3:15" ht="20.25" thickBot="1" x14ac:dyDescent="0.3">
      <c r="K46" s="49" t="s">
        <v>27</v>
      </c>
      <c r="L46" s="1">
        <v>356</v>
      </c>
    </row>
    <row r="47" spans="3:15" ht="20.25" thickBot="1" x14ac:dyDescent="0.3">
      <c r="K47" s="49" t="s">
        <v>28</v>
      </c>
      <c r="L47" s="1">
        <v>127</v>
      </c>
    </row>
    <row r="48" spans="3:15" ht="20.25" thickBot="1" x14ac:dyDescent="0.3">
      <c r="K48" s="49" t="s">
        <v>29</v>
      </c>
      <c r="L48" s="1">
        <v>431</v>
      </c>
    </row>
    <row r="49" spans="11:12" ht="20.25" thickBot="1" x14ac:dyDescent="0.3">
      <c r="K49" s="49" t="s">
        <v>30</v>
      </c>
      <c r="L49" s="1">
        <v>14</v>
      </c>
    </row>
    <row r="50" spans="11:12" ht="20.25" thickBot="1" x14ac:dyDescent="0.3">
      <c r="K50" s="49" t="s">
        <v>31</v>
      </c>
      <c r="L50" s="1">
        <v>222</v>
      </c>
    </row>
    <row r="51" spans="11:12" ht="20.25" thickBot="1" x14ac:dyDescent="0.3">
      <c r="K51" s="49" t="s">
        <v>32</v>
      </c>
      <c r="L51" s="1">
        <v>486</v>
      </c>
    </row>
    <row r="52" spans="11:12" ht="20.25" thickBot="1" x14ac:dyDescent="0.3">
      <c r="K52" s="49" t="s">
        <v>33</v>
      </c>
      <c r="L52" s="1">
        <v>1485</v>
      </c>
    </row>
    <row r="53" spans="11:12" ht="19.5" thickBot="1" x14ac:dyDescent="0.3">
      <c r="K53" s="33" t="s">
        <v>7</v>
      </c>
      <c r="L53" s="5">
        <f>SUM(L42:L52)</f>
        <v>3708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E6F-29C6-4A0D-8CD6-E164D1DC5C44}">
  <dimension ref="A1:AF59"/>
  <sheetViews>
    <sheetView topLeftCell="A13" zoomScale="85" zoomScaleNormal="85" workbookViewId="0">
      <selection activeCell="S26" sqref="S26"/>
    </sheetView>
  </sheetViews>
  <sheetFormatPr defaultRowHeight="16.5" x14ac:dyDescent="0.25"/>
  <cols>
    <col min="2" max="2" width="14.625" bestFit="1" customWidth="1"/>
    <col min="3" max="8" width="12.625" customWidth="1"/>
    <col min="9" max="12" width="12.625" style="11" customWidth="1"/>
    <col min="13" max="15" width="12.625" customWidth="1"/>
    <col min="16" max="16" width="13.375" bestFit="1" customWidth="1"/>
    <col min="17" max="18" width="14.625" customWidth="1"/>
    <col min="19" max="31" width="12.625" customWidth="1"/>
  </cols>
  <sheetData>
    <row r="1" spans="2:32" x14ac:dyDescent="0.25">
      <c r="C1" s="11"/>
      <c r="D1" s="11"/>
      <c r="E1" s="11"/>
    </row>
    <row r="2" spans="2:32" x14ac:dyDescent="0.25">
      <c r="K2"/>
      <c r="L2"/>
    </row>
    <row r="4" spans="2:32" ht="17.25" thickBot="1" x14ac:dyDescent="0.3"/>
    <row r="5" spans="2:32" ht="20.25" thickBot="1" x14ac:dyDescent="0.3">
      <c r="B5" s="103" t="s">
        <v>40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  <c r="Q5" s="11"/>
      <c r="R5" s="103" t="s">
        <v>41</v>
      </c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5"/>
    </row>
    <row r="6" spans="2:32" ht="38.25" thickBot="1" x14ac:dyDescent="0.3">
      <c r="B6" s="20" t="s">
        <v>9</v>
      </c>
      <c r="C6" s="55" t="s">
        <v>6</v>
      </c>
      <c r="D6" s="56" t="s">
        <v>24</v>
      </c>
      <c r="E6" s="57" t="s">
        <v>25</v>
      </c>
      <c r="F6" s="57" t="s">
        <v>26</v>
      </c>
      <c r="G6" s="57" t="s">
        <v>27</v>
      </c>
      <c r="H6" s="57" t="s">
        <v>28</v>
      </c>
      <c r="I6" s="57" t="s">
        <v>29</v>
      </c>
      <c r="J6" s="58" t="s">
        <v>30</v>
      </c>
      <c r="K6" s="58" t="s">
        <v>31</v>
      </c>
      <c r="L6" s="58" t="s">
        <v>32</v>
      </c>
      <c r="M6" s="58" t="s">
        <v>33</v>
      </c>
      <c r="N6" s="19" t="s">
        <v>10</v>
      </c>
      <c r="O6" s="19" t="s">
        <v>11</v>
      </c>
      <c r="Q6" s="11"/>
      <c r="R6" s="20" t="s">
        <v>9</v>
      </c>
      <c r="S6" s="55" t="s">
        <v>6</v>
      </c>
      <c r="T6" s="56" t="s">
        <v>24</v>
      </c>
      <c r="U6" s="57" t="s">
        <v>25</v>
      </c>
      <c r="V6" s="57" t="s">
        <v>26</v>
      </c>
      <c r="W6" s="57" t="s">
        <v>27</v>
      </c>
      <c r="X6" s="57" t="s">
        <v>28</v>
      </c>
      <c r="Y6" s="57" t="s">
        <v>29</v>
      </c>
      <c r="Z6" s="58" t="s">
        <v>30</v>
      </c>
      <c r="AA6" s="58" t="s">
        <v>31</v>
      </c>
      <c r="AB6" s="58" t="s">
        <v>32</v>
      </c>
      <c r="AC6" s="58" t="s">
        <v>33</v>
      </c>
      <c r="AD6" s="19" t="s">
        <v>10</v>
      </c>
      <c r="AE6" s="19" t="s">
        <v>11</v>
      </c>
    </row>
    <row r="7" spans="2:32" ht="20.25" thickBot="1" x14ac:dyDescent="0.3">
      <c r="B7" s="59" t="s">
        <v>6</v>
      </c>
      <c r="C7" s="21">
        <v>0.78500000000000003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>
        <v>0.12</v>
      </c>
      <c r="O7" s="21">
        <f>$P7</f>
        <v>0.90500000000000003</v>
      </c>
      <c r="P7">
        <f>SUM($C7:$N7)</f>
        <v>0.90500000000000003</v>
      </c>
      <c r="Q7" s="11"/>
      <c r="R7" s="59" t="s">
        <v>6</v>
      </c>
      <c r="S7" s="54">
        <f>ROUND(C7*框選統計!$L$8,0)</f>
        <v>362</v>
      </c>
      <c r="T7" s="21">
        <f>ROUND(D7*框選統計!$L$9,0)</f>
        <v>0</v>
      </c>
      <c r="U7" s="21">
        <f>ROUND(E7*框選統計!$L$10,0)</f>
        <v>0</v>
      </c>
      <c r="V7" s="21">
        <f>ROUND(F7*框選統計!$L$11,0)</f>
        <v>0</v>
      </c>
      <c r="W7" s="21">
        <f>ROUND(G7*框選統計!$L$12,0)</f>
        <v>0</v>
      </c>
      <c r="X7" s="21">
        <f>ROUND(H7*框選統計!$L$13,0)</f>
        <v>0</v>
      </c>
      <c r="Y7" s="21">
        <f>ROUND(I7*框選統計!$L$14,0)</f>
        <v>0</v>
      </c>
      <c r="Z7" s="21">
        <f>ROUND(J7*框選統計!$L$15,0)</f>
        <v>0</v>
      </c>
      <c r="AA7" s="21">
        <f>ROUND(K7*框選統計!$L$16,0)</f>
        <v>0</v>
      </c>
      <c r="AB7" s="21">
        <f>ROUND(L7*框選統計!$L$17,0)</f>
        <v>0</v>
      </c>
      <c r="AC7" s="21">
        <f>ROUND(M7*框選統計!$L$18,0)</f>
        <v>0</v>
      </c>
      <c r="AD7" s="21">
        <f>ROUND(N7*框選統計!$L8,0)</f>
        <v>55</v>
      </c>
      <c r="AE7" s="21">
        <f>$AF7</f>
        <v>417</v>
      </c>
      <c r="AF7">
        <f>SUM($S7:$AD7)</f>
        <v>417</v>
      </c>
    </row>
    <row r="8" spans="2:32" ht="20.25" thickBot="1" x14ac:dyDescent="0.3">
      <c r="B8" s="59" t="s">
        <v>24</v>
      </c>
      <c r="C8" s="21"/>
      <c r="D8" s="21">
        <v>0.86</v>
      </c>
      <c r="E8" s="21"/>
      <c r="F8" s="21"/>
      <c r="G8" s="21"/>
      <c r="H8" s="21"/>
      <c r="I8" s="21"/>
      <c r="J8" s="21"/>
      <c r="K8" s="21"/>
      <c r="L8" s="21"/>
      <c r="M8" s="21"/>
      <c r="N8" s="21">
        <v>0.01</v>
      </c>
      <c r="O8" s="21">
        <f t="shared" ref="O8:O18" si="0">$P8</f>
        <v>0.87</v>
      </c>
      <c r="P8">
        <f t="shared" ref="P8:P17" si="1">SUM($C8:$N8)</f>
        <v>0.87</v>
      </c>
      <c r="Q8" s="11"/>
      <c r="R8" s="59" t="s">
        <v>24</v>
      </c>
      <c r="S8" s="62">
        <f>ROUND(C8*框選統計!$L$8,0)</f>
        <v>0</v>
      </c>
      <c r="T8" s="54">
        <f>ROUND(D8*框選統計!$L$9,0)</f>
        <v>63</v>
      </c>
      <c r="U8" s="21">
        <f>ROUND(E8*框選統計!$L$10,0)</f>
        <v>0</v>
      </c>
      <c r="V8" s="21">
        <f>ROUND(F8*框選統計!$L$11,0)</f>
        <v>0</v>
      </c>
      <c r="W8" s="21">
        <f>ROUND(G8*框選統計!$L$12,0)</f>
        <v>0</v>
      </c>
      <c r="X8" s="21">
        <f>ROUND(H8*框選統計!$L$13,0)</f>
        <v>0</v>
      </c>
      <c r="Y8" s="21">
        <f>ROUND(I8*框選統計!$L$14,0)</f>
        <v>0</v>
      </c>
      <c r="Z8" s="21">
        <f>ROUND(J8*框選統計!$L$15,0)</f>
        <v>0</v>
      </c>
      <c r="AA8" s="21">
        <f>ROUND(K8*框選統計!$L$16,0)</f>
        <v>0</v>
      </c>
      <c r="AB8" s="21">
        <f>ROUND(L8*框選統計!$L$17,0)</f>
        <v>0</v>
      </c>
      <c r="AC8" s="21">
        <f>ROUND(M8*框選統計!$L$18,0)</f>
        <v>0</v>
      </c>
      <c r="AD8" s="21">
        <f>ROUND(N8*框選統計!$L9,0)</f>
        <v>1</v>
      </c>
      <c r="AE8" s="21">
        <f t="shared" ref="AE8:AE18" si="2">$AF8</f>
        <v>64</v>
      </c>
      <c r="AF8">
        <f t="shared" ref="AF8:AF18" si="3">SUM($S8:$AD8)</f>
        <v>64</v>
      </c>
    </row>
    <row r="9" spans="2:32" ht="20.25" thickBot="1" x14ac:dyDescent="0.3">
      <c r="B9" s="60" t="s">
        <v>25</v>
      </c>
      <c r="C9" s="21"/>
      <c r="D9" s="21"/>
      <c r="E9" s="21">
        <v>0.89</v>
      </c>
      <c r="F9" s="21">
        <v>0.05</v>
      </c>
      <c r="G9" s="21"/>
      <c r="H9" s="21"/>
      <c r="I9" s="21"/>
      <c r="J9" s="21"/>
      <c r="K9" s="21"/>
      <c r="L9" s="21"/>
      <c r="M9" s="21"/>
      <c r="N9" s="21">
        <v>0.05</v>
      </c>
      <c r="O9" s="21">
        <f t="shared" si="0"/>
        <v>0.9900000000000001</v>
      </c>
      <c r="P9">
        <f t="shared" si="1"/>
        <v>0.9900000000000001</v>
      </c>
      <c r="Q9" s="11"/>
      <c r="R9" s="60" t="s">
        <v>25</v>
      </c>
      <c r="S9" s="62">
        <f>ROUND(C9*框選統計!$L$8,0)</f>
        <v>0</v>
      </c>
      <c r="T9" s="62">
        <f>ROUND(D9*框選統計!$L$9,0)</f>
        <v>0</v>
      </c>
      <c r="U9" s="54">
        <f>ROUND(E9*框選統計!$L$10,0)</f>
        <v>109</v>
      </c>
      <c r="V9" s="21">
        <f>ROUND(F9*框選統計!$L$11,0)</f>
        <v>1</v>
      </c>
      <c r="W9" s="21">
        <f>ROUND(G9*框選統計!$L$12,0)</f>
        <v>0</v>
      </c>
      <c r="X9" s="21">
        <f>ROUND(H9*框選統計!$L$13,0)</f>
        <v>0</v>
      </c>
      <c r="Y9" s="21">
        <f>ROUND(I9*框選統計!$L$14,0)</f>
        <v>0</v>
      </c>
      <c r="Z9" s="21">
        <f>ROUND(J9*框選統計!$L$15,0)</f>
        <v>0</v>
      </c>
      <c r="AA9" s="21">
        <f>ROUND(K9*框選統計!$L$16,0)</f>
        <v>0</v>
      </c>
      <c r="AB9" s="21">
        <f>ROUND(L9*框選統計!$L$17,0)</f>
        <v>0</v>
      </c>
      <c r="AC9" s="21">
        <f>ROUND(M9*框選統計!$L$18,0)</f>
        <v>0</v>
      </c>
      <c r="AD9" s="21">
        <f>ROUND(N9*框選統計!$L10,0)</f>
        <v>6</v>
      </c>
      <c r="AE9" s="21">
        <f t="shared" si="2"/>
        <v>116</v>
      </c>
      <c r="AF9">
        <f t="shared" si="3"/>
        <v>116</v>
      </c>
    </row>
    <row r="10" spans="2:32" ht="20.25" thickBot="1" x14ac:dyDescent="0.3">
      <c r="B10" s="60" t="s">
        <v>26</v>
      </c>
      <c r="C10" s="21"/>
      <c r="D10" s="21"/>
      <c r="E10" s="21"/>
      <c r="F10" s="21">
        <v>0.53</v>
      </c>
      <c r="G10" s="21"/>
      <c r="H10" s="21"/>
      <c r="I10" s="21"/>
      <c r="J10" s="21"/>
      <c r="K10" s="21"/>
      <c r="L10" s="21"/>
      <c r="M10" s="21"/>
      <c r="N10" s="21">
        <v>0.01</v>
      </c>
      <c r="O10" s="21">
        <f t="shared" si="0"/>
        <v>0.54</v>
      </c>
      <c r="P10">
        <f t="shared" si="1"/>
        <v>0.54</v>
      </c>
      <c r="Q10" s="11"/>
      <c r="R10" s="60" t="s">
        <v>26</v>
      </c>
      <c r="S10" s="62">
        <f>ROUND(C10*框選統計!$L$8,0)</f>
        <v>0</v>
      </c>
      <c r="T10" s="62">
        <f>ROUND(D10*框選統計!$L$9,0)</f>
        <v>0</v>
      </c>
      <c r="U10" s="21">
        <f>ROUND(E10*框選統計!$L$10,0)</f>
        <v>0</v>
      </c>
      <c r="V10" s="54">
        <f>ROUND(F10*框選統計!$L$11,0)</f>
        <v>10</v>
      </c>
      <c r="W10" s="21">
        <f>ROUND(G10*框選統計!$L$12,0)</f>
        <v>0</v>
      </c>
      <c r="X10" s="21">
        <f>ROUND(H10*框選統計!$L$13,0)</f>
        <v>0</v>
      </c>
      <c r="Y10" s="21">
        <f>ROUND(I10*框選統計!$L$14,0)</f>
        <v>0</v>
      </c>
      <c r="Z10" s="21">
        <f>ROUND(J10*框選統計!$L$15,0)</f>
        <v>0</v>
      </c>
      <c r="AA10" s="21">
        <f>ROUND(K10*框選統計!$L$16,0)</f>
        <v>0</v>
      </c>
      <c r="AB10" s="21">
        <f>ROUND(L10*框選統計!$L$17,0)</f>
        <v>0</v>
      </c>
      <c r="AC10" s="21">
        <f>ROUND(M10*框選統計!$L$18,0)</f>
        <v>0</v>
      </c>
      <c r="AD10" s="21">
        <f>ROUND(N10*框選統計!$L11,0)</f>
        <v>0</v>
      </c>
      <c r="AE10" s="21">
        <f t="shared" si="2"/>
        <v>10</v>
      </c>
      <c r="AF10">
        <f t="shared" si="3"/>
        <v>10</v>
      </c>
    </row>
    <row r="11" spans="2:32" ht="20.25" thickBot="1" x14ac:dyDescent="0.3">
      <c r="B11" s="60" t="s">
        <v>27</v>
      </c>
      <c r="C11" s="21"/>
      <c r="D11" s="21"/>
      <c r="E11" s="21"/>
      <c r="F11" s="21"/>
      <c r="G11" s="21">
        <v>0.94</v>
      </c>
      <c r="H11" s="21"/>
      <c r="I11" s="21"/>
      <c r="J11" s="21"/>
      <c r="K11" s="21"/>
      <c r="L11" s="21"/>
      <c r="M11" s="21"/>
      <c r="N11" s="21">
        <v>0.03</v>
      </c>
      <c r="O11" s="21">
        <f t="shared" si="0"/>
        <v>0.97</v>
      </c>
      <c r="P11">
        <f t="shared" si="1"/>
        <v>0.97</v>
      </c>
      <c r="Q11" s="11"/>
      <c r="R11" s="60" t="s">
        <v>27</v>
      </c>
      <c r="S11" s="62">
        <f>ROUND(C11*框選統計!$L$8,0)</f>
        <v>0</v>
      </c>
      <c r="T11" s="62">
        <f>ROUND(D11*框選統計!$L$9,0)</f>
        <v>0</v>
      </c>
      <c r="U11" s="21">
        <f>ROUND(E11*框選統計!$L$10,0)</f>
        <v>0</v>
      </c>
      <c r="V11" s="21">
        <f>ROUND(F11*框選統計!$L$11,0)</f>
        <v>0</v>
      </c>
      <c r="W11" s="54">
        <f>ROUND(G11*框選統計!$L$12,0)</f>
        <v>371</v>
      </c>
      <c r="X11" s="21">
        <f>ROUND(H11*框選統計!$L$13,0)</f>
        <v>0</v>
      </c>
      <c r="Y11" s="21">
        <f>ROUND(I11*框選統計!$L$14,0)</f>
        <v>0</v>
      </c>
      <c r="Z11" s="21">
        <f>ROUND(J11*框選統計!$L$15,0)</f>
        <v>0</v>
      </c>
      <c r="AA11" s="21">
        <f>ROUND(K11*框選統計!$L$16,0)</f>
        <v>0</v>
      </c>
      <c r="AB11" s="21">
        <f>ROUND(L11*框選統計!$L$17,0)</f>
        <v>0</v>
      </c>
      <c r="AC11" s="21">
        <f>ROUND(M11*框選統計!$L$18,0)</f>
        <v>0</v>
      </c>
      <c r="AD11" s="21">
        <f>ROUND(N11*框選統計!$L12,0)</f>
        <v>12</v>
      </c>
      <c r="AE11" s="21">
        <f t="shared" si="2"/>
        <v>383</v>
      </c>
      <c r="AF11">
        <f t="shared" si="3"/>
        <v>383</v>
      </c>
    </row>
    <row r="12" spans="2:32" ht="20.25" thickBot="1" x14ac:dyDescent="0.3">
      <c r="B12" s="60" t="s">
        <v>28</v>
      </c>
      <c r="C12" s="21"/>
      <c r="D12" s="21"/>
      <c r="E12" s="21"/>
      <c r="F12" s="21"/>
      <c r="G12" s="21"/>
      <c r="H12" s="21">
        <v>0.95</v>
      </c>
      <c r="I12" s="21"/>
      <c r="J12" s="21"/>
      <c r="K12" s="21"/>
      <c r="L12" s="21"/>
      <c r="M12" s="21"/>
      <c r="N12" s="21">
        <v>0.01</v>
      </c>
      <c r="O12" s="21">
        <f t="shared" si="0"/>
        <v>0.96</v>
      </c>
      <c r="P12">
        <f t="shared" si="1"/>
        <v>0.96</v>
      </c>
      <c r="Q12" s="11"/>
      <c r="R12" s="60" t="s">
        <v>28</v>
      </c>
      <c r="S12" s="62">
        <f>ROUND(C12*框選統計!$L$8,0)</f>
        <v>0</v>
      </c>
      <c r="T12" s="62">
        <f>ROUND(D12*框選統計!$L$9,0)</f>
        <v>0</v>
      </c>
      <c r="U12" s="21">
        <f>ROUND(E12*框選統計!$L$10,0)</f>
        <v>0</v>
      </c>
      <c r="V12" s="21">
        <f>ROUND(F12*框選統計!$L$11,0)</f>
        <v>0</v>
      </c>
      <c r="W12" s="21">
        <f>ROUND(G12*框選統計!$L$12,0)</f>
        <v>0</v>
      </c>
      <c r="X12" s="54">
        <f>ROUND(H12*框選統計!$L$13,0)</f>
        <v>94</v>
      </c>
      <c r="Y12" s="21">
        <f>ROUND(I12*框選統計!$L$14,0)</f>
        <v>0</v>
      </c>
      <c r="Z12" s="21">
        <f>ROUND(J12*框選統計!$L$15,0)</f>
        <v>0</v>
      </c>
      <c r="AA12" s="21">
        <f>ROUND(K12*框選統計!$L$16,0)</f>
        <v>0</v>
      </c>
      <c r="AB12" s="21">
        <f>ROUND(L12*框選統計!$L$17,0)</f>
        <v>0</v>
      </c>
      <c r="AC12" s="21">
        <f>ROUND(M12*框選統計!$L$18,0)</f>
        <v>0</v>
      </c>
      <c r="AD12" s="21">
        <f>ROUND(N12*框選統計!$L13,0)</f>
        <v>1</v>
      </c>
      <c r="AE12" s="21">
        <f t="shared" si="2"/>
        <v>95</v>
      </c>
      <c r="AF12">
        <f t="shared" si="3"/>
        <v>95</v>
      </c>
    </row>
    <row r="13" spans="2:32" ht="20.25" thickBot="1" x14ac:dyDescent="0.3">
      <c r="B13" s="60" t="s">
        <v>29</v>
      </c>
      <c r="C13" s="21"/>
      <c r="D13" s="21"/>
      <c r="E13" s="21"/>
      <c r="F13" s="21"/>
      <c r="G13" s="21"/>
      <c r="H13" s="21"/>
      <c r="I13" s="21">
        <v>0.81499999999999995</v>
      </c>
      <c r="J13" s="21"/>
      <c r="K13" s="21"/>
      <c r="L13" s="21"/>
      <c r="M13" s="21"/>
      <c r="N13" s="21">
        <v>0.13</v>
      </c>
      <c r="O13" s="21">
        <f t="shared" si="0"/>
        <v>0.94499999999999995</v>
      </c>
      <c r="P13">
        <f t="shared" si="1"/>
        <v>0.94499999999999995</v>
      </c>
      <c r="Q13" s="11"/>
      <c r="R13" s="60" t="s">
        <v>29</v>
      </c>
      <c r="S13" s="62">
        <f>ROUND(C13*框選統計!$L$8,0)</f>
        <v>0</v>
      </c>
      <c r="T13" s="62">
        <f>ROUND(D13*框選統計!$L$9,0)</f>
        <v>0</v>
      </c>
      <c r="U13" s="21">
        <f>ROUND(E13*框選統計!$L$10,0)</f>
        <v>0</v>
      </c>
      <c r="V13" s="21">
        <f>ROUND(F13*框選統計!$L$11,0)</f>
        <v>0</v>
      </c>
      <c r="W13" s="21">
        <f>ROUND(G13*框選統計!$L$12,0)</f>
        <v>0</v>
      </c>
      <c r="X13" s="21">
        <f>ROUND(H13*框選統計!$L$13,0)</f>
        <v>0</v>
      </c>
      <c r="Y13" s="54">
        <f>ROUND(I13*框選統計!$L$14,0)</f>
        <v>373</v>
      </c>
      <c r="Z13" s="21">
        <f>ROUND(J13*框選統計!$L$15,0)</f>
        <v>0</v>
      </c>
      <c r="AA13" s="21">
        <f>ROUND(K13*框選統計!$L$16,0)</f>
        <v>0</v>
      </c>
      <c r="AB13" s="21">
        <f>ROUND(L13*框選統計!$L$17,0)</f>
        <v>0</v>
      </c>
      <c r="AC13" s="21">
        <f>ROUND(M13*框選統計!$L$18,0)</f>
        <v>0</v>
      </c>
      <c r="AD13" s="21">
        <f>ROUND(N13*框選統計!$L14,0)</f>
        <v>60</v>
      </c>
      <c r="AE13" s="21">
        <f t="shared" si="2"/>
        <v>433</v>
      </c>
      <c r="AF13">
        <f t="shared" si="3"/>
        <v>433</v>
      </c>
    </row>
    <row r="14" spans="2:32" ht="20.25" thickBot="1" x14ac:dyDescent="0.3">
      <c r="B14" s="61" t="s">
        <v>30</v>
      </c>
      <c r="C14" s="21"/>
      <c r="D14" s="21"/>
      <c r="E14" s="21"/>
      <c r="F14" s="21"/>
      <c r="G14" s="21"/>
      <c r="H14" s="21"/>
      <c r="I14" s="21"/>
      <c r="J14" s="21">
        <v>1</v>
      </c>
      <c r="K14" s="21"/>
      <c r="L14" s="21"/>
      <c r="M14" s="21"/>
      <c r="N14" s="21">
        <v>0</v>
      </c>
      <c r="O14" s="21">
        <f t="shared" si="0"/>
        <v>1</v>
      </c>
      <c r="P14">
        <f t="shared" si="1"/>
        <v>1</v>
      </c>
      <c r="Q14" s="11"/>
      <c r="R14" s="61" t="s">
        <v>30</v>
      </c>
      <c r="S14" s="62">
        <f>ROUND(C14*框選統計!$L$8,0)</f>
        <v>0</v>
      </c>
      <c r="T14" s="62">
        <f>ROUND(D14*框選統計!$L$9,0)</f>
        <v>0</v>
      </c>
      <c r="U14" s="21">
        <f>ROUND(E14*框選統計!$L$10,0)</f>
        <v>0</v>
      </c>
      <c r="V14" s="21">
        <f>ROUND(F14*框選統計!$L$11,0)</f>
        <v>0</v>
      </c>
      <c r="W14" s="21">
        <f>ROUND(G14*框選統計!$L$12,0)</f>
        <v>0</v>
      </c>
      <c r="X14" s="21">
        <f>ROUND(H14*框選統計!$L$13,0)</f>
        <v>0</v>
      </c>
      <c r="Y14" s="21">
        <f>ROUND(I14*框選統計!$L$14,0)</f>
        <v>0</v>
      </c>
      <c r="Z14" s="54">
        <f>ROUND(J14*框選統計!$L$15,0)</f>
        <v>16</v>
      </c>
      <c r="AA14" s="21">
        <f>ROUND(K14*框選統計!$L$16,0)</f>
        <v>0</v>
      </c>
      <c r="AB14" s="21">
        <f>ROUND(L14*框選統計!$L$17,0)</f>
        <v>0</v>
      </c>
      <c r="AC14" s="21">
        <f>ROUND(M14*框選統計!$L$18,0)</f>
        <v>0</v>
      </c>
      <c r="AD14" s="21">
        <f>ROUND(N14*框選統計!$L15,0)</f>
        <v>0</v>
      </c>
      <c r="AE14" s="21">
        <f t="shared" si="2"/>
        <v>16</v>
      </c>
      <c r="AF14">
        <f t="shared" si="3"/>
        <v>16</v>
      </c>
    </row>
    <row r="15" spans="2:32" ht="20.25" thickBot="1" x14ac:dyDescent="0.3">
      <c r="B15" s="61" t="s">
        <v>31</v>
      </c>
      <c r="C15" s="21"/>
      <c r="D15" s="21"/>
      <c r="E15" s="21"/>
      <c r="F15" s="21"/>
      <c r="G15" s="21"/>
      <c r="H15" s="21"/>
      <c r="I15" s="21"/>
      <c r="J15" s="21"/>
      <c r="K15" s="21">
        <v>0.98</v>
      </c>
      <c r="L15" s="21"/>
      <c r="M15" s="21"/>
      <c r="N15" s="21">
        <v>0.04</v>
      </c>
      <c r="O15" s="21">
        <f t="shared" si="0"/>
        <v>1.02</v>
      </c>
      <c r="P15">
        <f t="shared" si="1"/>
        <v>1.02</v>
      </c>
      <c r="Q15" s="11"/>
      <c r="R15" s="61" t="s">
        <v>31</v>
      </c>
      <c r="S15" s="62">
        <f>ROUND(C15*框選統計!$L$8,0)</f>
        <v>0</v>
      </c>
      <c r="T15" s="62">
        <f>ROUND(D15*框選統計!$L$9,0)</f>
        <v>0</v>
      </c>
      <c r="U15" s="21">
        <f>ROUND(E15*框選統計!$L$10,0)</f>
        <v>0</v>
      </c>
      <c r="V15" s="21">
        <f>ROUND(F15*框選統計!$L$11,0)</f>
        <v>0</v>
      </c>
      <c r="W15" s="21">
        <f>ROUND(G15*框選統計!$L$12,0)</f>
        <v>0</v>
      </c>
      <c r="X15" s="21">
        <f>ROUND(H15*框選統計!$L$13,0)</f>
        <v>0</v>
      </c>
      <c r="Y15" s="21">
        <f>ROUND(I15*框選統計!$L$14,0)</f>
        <v>0</v>
      </c>
      <c r="Z15" s="21">
        <f>ROUND(J15*框選統計!$L$15,0)</f>
        <v>0</v>
      </c>
      <c r="AA15" s="54">
        <f>ROUND(K15*框選統計!$L$16,0)</f>
        <v>211</v>
      </c>
      <c r="AB15" s="21">
        <f>ROUND(L15*框選統計!$L$17,0)</f>
        <v>0</v>
      </c>
      <c r="AC15" s="21">
        <f>ROUND(M15*框選統計!$L$18,0)</f>
        <v>0</v>
      </c>
      <c r="AD15" s="21">
        <f>ROUND(N15*框選統計!$L16,0)</f>
        <v>9</v>
      </c>
      <c r="AE15" s="21">
        <f t="shared" si="2"/>
        <v>220</v>
      </c>
      <c r="AF15">
        <f t="shared" si="3"/>
        <v>220</v>
      </c>
    </row>
    <row r="16" spans="2:32" ht="20.25" thickBot="1" x14ac:dyDescent="0.3">
      <c r="B16" s="61" t="s">
        <v>32</v>
      </c>
      <c r="C16" s="21"/>
      <c r="D16" s="21"/>
      <c r="E16" s="21"/>
      <c r="F16" s="21"/>
      <c r="G16" s="21"/>
      <c r="H16" s="21"/>
      <c r="I16" s="21"/>
      <c r="J16" s="21"/>
      <c r="K16" s="21"/>
      <c r="L16" s="21">
        <v>0.84</v>
      </c>
      <c r="M16" s="21"/>
      <c r="N16" s="21">
        <v>0.12</v>
      </c>
      <c r="O16" s="21">
        <f t="shared" si="0"/>
        <v>0.96</v>
      </c>
      <c r="P16">
        <f t="shared" si="1"/>
        <v>0.96</v>
      </c>
      <c r="Q16" s="11"/>
      <c r="R16" s="61" t="s">
        <v>32</v>
      </c>
      <c r="S16" s="62">
        <f>ROUND(C16*框選統計!$L$8,0)</f>
        <v>0</v>
      </c>
      <c r="T16" s="62">
        <f>ROUND(D16*框選統計!$L$9,0)</f>
        <v>0</v>
      </c>
      <c r="U16" s="21">
        <f>ROUND(E16*框選統計!$L$10,0)</f>
        <v>0</v>
      </c>
      <c r="V16" s="21">
        <f>ROUND(F16*框選統計!$L$11,0)</f>
        <v>0</v>
      </c>
      <c r="W16" s="21">
        <f>ROUND(G16*框選統計!$L$12,0)</f>
        <v>0</v>
      </c>
      <c r="X16" s="21">
        <f>ROUND(H16*框選統計!$L$13,0)</f>
        <v>0</v>
      </c>
      <c r="Y16" s="21">
        <f>ROUND(I16*框選統計!$L$14,0)</f>
        <v>0</v>
      </c>
      <c r="Z16" s="21">
        <f>ROUND(J16*框選統計!$L$15,0)</f>
        <v>0</v>
      </c>
      <c r="AA16" s="21">
        <f>ROUND(K16*框選統計!$L$16,0)</f>
        <v>0</v>
      </c>
      <c r="AB16" s="54">
        <f>ROUND(L16*框選統計!$L$17,0)</f>
        <v>359</v>
      </c>
      <c r="AC16" s="21">
        <f>ROUND(M16*框選統計!$L$18,0)</f>
        <v>0</v>
      </c>
      <c r="AD16" s="21">
        <f>ROUND(N16*框選統計!$L17,0)</f>
        <v>51</v>
      </c>
      <c r="AE16" s="21">
        <f t="shared" si="2"/>
        <v>410</v>
      </c>
      <c r="AF16">
        <f t="shared" si="3"/>
        <v>410</v>
      </c>
    </row>
    <row r="17" spans="1:32" ht="20.25" thickBot="1" x14ac:dyDescent="0.3">
      <c r="B17" s="61" t="s">
        <v>33</v>
      </c>
      <c r="C17" s="21"/>
      <c r="D17" s="21"/>
      <c r="E17" s="21"/>
      <c r="F17" s="21"/>
      <c r="G17" s="21"/>
      <c r="H17" s="21"/>
      <c r="I17" s="21"/>
      <c r="J17" s="21"/>
      <c r="K17" s="21"/>
      <c r="L17" s="21">
        <v>0.03</v>
      </c>
      <c r="M17" s="21">
        <v>0.82</v>
      </c>
      <c r="N17" s="21">
        <v>0.48</v>
      </c>
      <c r="O17" s="21">
        <f t="shared" si="0"/>
        <v>1.33</v>
      </c>
      <c r="P17">
        <f t="shared" si="1"/>
        <v>1.33</v>
      </c>
      <c r="Q17" s="11"/>
      <c r="R17" s="61" t="s">
        <v>33</v>
      </c>
      <c r="S17" s="62">
        <f>ROUND(C17*框選統計!$L$8,0)</f>
        <v>0</v>
      </c>
      <c r="T17" s="62">
        <f>ROUND(D17*框選統計!$L$9,0)</f>
        <v>0</v>
      </c>
      <c r="U17" s="21">
        <f>ROUND(E17*框選統計!$L$10,0)</f>
        <v>0</v>
      </c>
      <c r="V17" s="21">
        <f>ROUND(F17*框選統計!$L$11,0)</f>
        <v>0</v>
      </c>
      <c r="W17" s="21">
        <f>ROUND(G17*框選統計!$L$12,0)</f>
        <v>0</v>
      </c>
      <c r="X17" s="21">
        <f>ROUND(H17*框選統計!$L$13,0)</f>
        <v>0</v>
      </c>
      <c r="Y17" s="21">
        <f>ROUND(I17*框選統計!$L$14,0)</f>
        <v>0</v>
      </c>
      <c r="Z17" s="21">
        <f>ROUND(J17*框選統計!$L$15,0)</f>
        <v>0</v>
      </c>
      <c r="AA17" s="21">
        <f>ROUND(K17*框選統計!$L$16,0)</f>
        <v>0</v>
      </c>
      <c r="AB17" s="21">
        <f>ROUND(L17*框選統計!$L$17,0)</f>
        <v>13</v>
      </c>
      <c r="AC17" s="54">
        <f>ROUND(M17*框選統計!$L$18,0)</f>
        <v>1127</v>
      </c>
      <c r="AD17" s="21">
        <f>ROUND(N17*框選統計!$L18,0)</f>
        <v>660</v>
      </c>
      <c r="AE17" s="21">
        <f t="shared" si="2"/>
        <v>1800</v>
      </c>
      <c r="AF17">
        <f t="shared" si="3"/>
        <v>1800</v>
      </c>
    </row>
    <row r="18" spans="1:32" ht="20.25" thickBot="1" x14ac:dyDescent="0.3">
      <c r="B18" s="19" t="s">
        <v>10</v>
      </c>
      <c r="C18" s="21">
        <v>0.215</v>
      </c>
      <c r="D18" s="21">
        <v>0.14000000000000001</v>
      </c>
      <c r="E18" s="21">
        <v>0.11</v>
      </c>
      <c r="F18" s="21">
        <v>0.42</v>
      </c>
      <c r="G18" s="21">
        <v>0.06</v>
      </c>
      <c r="H18" s="21">
        <v>0.05</v>
      </c>
      <c r="I18" s="21">
        <v>0.185</v>
      </c>
      <c r="J18" s="21">
        <v>0</v>
      </c>
      <c r="K18" s="21">
        <v>0.02</v>
      </c>
      <c r="L18" s="21">
        <v>0.13</v>
      </c>
      <c r="M18" s="21">
        <v>0.18</v>
      </c>
      <c r="N18" s="21">
        <v>0</v>
      </c>
      <c r="O18" s="21">
        <f t="shared" si="0"/>
        <v>1.51</v>
      </c>
      <c r="P18">
        <f>SUM($C18:$N18)</f>
        <v>1.51</v>
      </c>
      <c r="Q18" s="11"/>
      <c r="R18" s="19" t="s">
        <v>10</v>
      </c>
      <c r="S18" s="21">
        <f>ROUND(C18*框選統計!$L$8,0)</f>
        <v>99</v>
      </c>
      <c r="T18" s="21">
        <f>ROUND(D18*框選統計!$L$9,0)</f>
        <v>10</v>
      </c>
      <c r="U18" s="21">
        <f>ROUND(E18*框選統計!$L$10,0)</f>
        <v>13</v>
      </c>
      <c r="V18" s="21">
        <f>ROUND(F18*框選統計!$L$11,0)</f>
        <v>8</v>
      </c>
      <c r="W18" s="21">
        <f>ROUND(G18*框選統計!$L$12,0)</f>
        <v>24</v>
      </c>
      <c r="X18" s="21">
        <f>ROUND(H18*框選統計!$L$13,0)</f>
        <v>5</v>
      </c>
      <c r="Y18" s="21">
        <f>ROUND(I18*框選統計!$L$14,0)</f>
        <v>85</v>
      </c>
      <c r="Z18" s="21">
        <f>ROUND(J18*框選統計!$L$15,0)</f>
        <v>0</v>
      </c>
      <c r="AA18" s="21">
        <f>ROUND(K18*框選統計!$L$16,0)</f>
        <v>4</v>
      </c>
      <c r="AB18" s="21">
        <f>ROUND(L18*框選統計!$L$17,0)</f>
        <v>56</v>
      </c>
      <c r="AC18" s="21">
        <f>ROUND(M18*框選統計!$L$18,0)</f>
        <v>247</v>
      </c>
      <c r="AD18" s="21">
        <f>ROUND(N18*框選統計!$L19,0)</f>
        <v>0</v>
      </c>
      <c r="AE18" s="21">
        <f t="shared" si="2"/>
        <v>551</v>
      </c>
      <c r="AF18">
        <f t="shared" si="3"/>
        <v>551</v>
      </c>
    </row>
    <row r="19" spans="1:32" ht="20.25" thickBot="1" x14ac:dyDescent="0.3">
      <c r="B19" s="19" t="s">
        <v>12</v>
      </c>
      <c r="C19" s="21">
        <f>C$20</f>
        <v>1</v>
      </c>
      <c r="D19" s="21">
        <f t="shared" ref="D19:M19" si="4">D$20</f>
        <v>1</v>
      </c>
      <c r="E19" s="21">
        <f t="shared" si="4"/>
        <v>1</v>
      </c>
      <c r="F19" s="21">
        <f t="shared" si="4"/>
        <v>1</v>
      </c>
      <c r="G19" s="21">
        <f t="shared" si="4"/>
        <v>1</v>
      </c>
      <c r="H19" s="21">
        <f t="shared" si="4"/>
        <v>1</v>
      </c>
      <c r="I19" s="21">
        <f t="shared" si="4"/>
        <v>1</v>
      </c>
      <c r="J19" s="21">
        <f t="shared" si="4"/>
        <v>1</v>
      </c>
      <c r="K19" s="21">
        <f t="shared" si="4"/>
        <v>1</v>
      </c>
      <c r="L19" s="21">
        <f t="shared" si="4"/>
        <v>1</v>
      </c>
      <c r="M19" s="21">
        <f t="shared" si="4"/>
        <v>1</v>
      </c>
      <c r="N19" s="21">
        <f t="shared" ref="N19" si="5">N$20</f>
        <v>1</v>
      </c>
      <c r="O19" s="21"/>
      <c r="P19">
        <f>SUM(P7:P18)</f>
        <v>12</v>
      </c>
      <c r="Q19" s="11"/>
      <c r="R19" s="19" t="s">
        <v>12</v>
      </c>
      <c r="S19" s="21">
        <f>S$20</f>
        <v>461</v>
      </c>
      <c r="T19" s="21">
        <f t="shared" ref="T19:AD19" si="6">T$20</f>
        <v>73</v>
      </c>
      <c r="U19" s="21">
        <f t="shared" si="6"/>
        <v>122</v>
      </c>
      <c r="V19" s="21">
        <f t="shared" si="6"/>
        <v>19</v>
      </c>
      <c r="W19" s="21">
        <f t="shared" si="6"/>
        <v>395</v>
      </c>
      <c r="X19" s="21">
        <f t="shared" si="6"/>
        <v>99</v>
      </c>
      <c r="Y19" s="21">
        <f t="shared" si="6"/>
        <v>458</v>
      </c>
      <c r="Z19" s="21">
        <f t="shared" si="6"/>
        <v>16</v>
      </c>
      <c r="AA19" s="21">
        <f t="shared" si="6"/>
        <v>215</v>
      </c>
      <c r="AB19" s="21">
        <f t="shared" si="6"/>
        <v>428</v>
      </c>
      <c r="AC19" s="21">
        <f t="shared" si="6"/>
        <v>1374</v>
      </c>
      <c r="AD19" s="21">
        <f t="shared" si="6"/>
        <v>855</v>
      </c>
      <c r="AE19" s="21">
        <f>IF(AE20=AF19,AE20,"no")</f>
        <v>4515</v>
      </c>
      <c r="AF19">
        <f>SUM(AF7:AF18)</f>
        <v>4515</v>
      </c>
    </row>
    <row r="20" spans="1:32" x14ac:dyDescent="0.25">
      <c r="C20">
        <f>SUM(C$7:C$18)</f>
        <v>1</v>
      </c>
      <c r="D20">
        <f t="shared" ref="D20:M20" si="7">SUM(D$7:D$18)</f>
        <v>1</v>
      </c>
      <c r="E20">
        <f t="shared" si="7"/>
        <v>1</v>
      </c>
      <c r="F20">
        <f t="shared" si="7"/>
        <v>1</v>
      </c>
      <c r="G20">
        <f t="shared" si="7"/>
        <v>1</v>
      </c>
      <c r="H20">
        <f t="shared" si="7"/>
        <v>1</v>
      </c>
      <c r="I20">
        <f t="shared" si="7"/>
        <v>1</v>
      </c>
      <c r="J20">
        <f t="shared" si="7"/>
        <v>1</v>
      </c>
      <c r="K20">
        <f t="shared" si="7"/>
        <v>1</v>
      </c>
      <c r="L20">
        <f t="shared" si="7"/>
        <v>1</v>
      </c>
      <c r="M20">
        <f t="shared" si="7"/>
        <v>1</v>
      </c>
      <c r="N20">
        <f>SUM(N$7:N$18)</f>
        <v>1</v>
      </c>
      <c r="O20">
        <f>SUM(C20:N20)</f>
        <v>12</v>
      </c>
      <c r="Q20" s="11"/>
      <c r="S20">
        <f>SUM(S$7:S$18)</f>
        <v>461</v>
      </c>
      <c r="T20">
        <f t="shared" ref="T20:AD20" si="8">SUM(T$7:T$18)</f>
        <v>73</v>
      </c>
      <c r="U20">
        <f t="shared" si="8"/>
        <v>122</v>
      </c>
      <c r="V20">
        <f t="shared" si="8"/>
        <v>19</v>
      </c>
      <c r="W20">
        <f t="shared" si="8"/>
        <v>395</v>
      </c>
      <c r="X20">
        <f t="shared" si="8"/>
        <v>99</v>
      </c>
      <c r="Y20">
        <f t="shared" si="8"/>
        <v>458</v>
      </c>
      <c r="Z20">
        <f t="shared" si="8"/>
        <v>16</v>
      </c>
      <c r="AA20">
        <f t="shared" si="8"/>
        <v>215</v>
      </c>
      <c r="AB20">
        <f t="shared" si="8"/>
        <v>428</v>
      </c>
      <c r="AC20">
        <f t="shared" si="8"/>
        <v>1374</v>
      </c>
      <c r="AD20">
        <f t="shared" si="8"/>
        <v>855</v>
      </c>
      <c r="AE20">
        <f>SUM(S20:AD20)</f>
        <v>4515</v>
      </c>
    </row>
    <row r="21" spans="1:32" x14ac:dyDescent="0.25">
      <c r="J21"/>
      <c r="K21"/>
      <c r="L21"/>
      <c r="AE21">
        <f>SUM(S20:AC20)</f>
        <v>3660</v>
      </c>
    </row>
    <row r="22" spans="1:32" ht="17.25" thickBot="1" x14ac:dyDescent="0.3">
      <c r="J22"/>
      <c r="K22"/>
      <c r="L22"/>
      <c r="AD22" s="65" t="s">
        <v>54</v>
      </c>
    </row>
    <row r="23" spans="1:32" s="11" customFormat="1" ht="20.25" thickBot="1" x14ac:dyDescent="0.3">
      <c r="B23" s="106" t="s">
        <v>42</v>
      </c>
      <c r="C23" s="107"/>
      <c r="D23" s="14" t="s">
        <v>1</v>
      </c>
      <c r="E23" s="15" t="s">
        <v>2</v>
      </c>
      <c r="F23" s="16" t="s">
        <v>3</v>
      </c>
      <c r="G23" s="17" t="s">
        <v>14</v>
      </c>
      <c r="H23" s="18" t="s">
        <v>4</v>
      </c>
      <c r="I23" s="47" t="s">
        <v>5</v>
      </c>
      <c r="J23" s="95" t="s">
        <v>19</v>
      </c>
      <c r="R23" s="43" t="s">
        <v>19</v>
      </c>
      <c r="S23" s="11">
        <f>((T8+U9+V10+W11+X12+Y13+Z14+AA15+AB16+AC17)/(T19+U19+V19+W19+X19+Y19+Z19+AA19+AB19+AC19))</f>
        <v>0.85432947796186309</v>
      </c>
      <c r="T23" s="92">
        <f>((S7+U9+V10+W11+X12+Y13+Z14+AA15+AB16+AC17)/(S19+U19+V19+W19+X19+Y19+Z19+AA19+AB19+AC19))</f>
        <v>0.8452746027320881</v>
      </c>
      <c r="U23" s="92">
        <f>((T8+S7+V10+W11+X12+Y13+Z14+AA15+AB16+AC17)/(T19+S19+V19+W19+X19+Y19+Z19+AA19+AB19+AC19))</f>
        <v>0.84397964951950255</v>
      </c>
      <c r="V23" s="92">
        <f>((T8+U9+S7+W11+X12+Y13+Z14+AA15+AB16+AC17)/(T19+U19+S19+W19+X19+Y19+Z19+AA19+AB19+AC19))</f>
        <v>0.84729469925844547</v>
      </c>
      <c r="W23" s="92">
        <f>((T8+U9+V10+S7+X12+Y13+Z14+AA15+AB16+AC17)/(T19+U19+V19+S19+X19+Y19+Z19+AA19+AB19+AC19))</f>
        <v>0.83430321592649315</v>
      </c>
      <c r="X23" s="92">
        <f>((T8+U9+V10+W11+S7+Y13+Z14+AA15+AB16+AC17)/(T19+U19+V19+W19+S19+Y19+Z19+AA19+AB19+AC19))</f>
        <v>0.84274080314518396</v>
      </c>
      <c r="Y23" s="92">
        <f>((T8+U9+V10+W11+X12+S7+Z14+AA15+AB16+AC17)/(T19+U19+V19+W19+X19+S19+Z19+AA19+AB19+AC19))</f>
        <v>0.85009369144284819</v>
      </c>
      <c r="Z23" s="92">
        <f>((T8+U9+V10+W11+X12+Y13+S7+AA15+AB16+AC17)/(T19+U19+V19+W19+X19+Y19+S19+AA19+AB19+AC19))</f>
        <v>0.84495060373216246</v>
      </c>
      <c r="AA23" s="92">
        <f>((T8+U9+V10+W11+X12+Y13+Z14+S7+AB16+AC17)/(T19+U19+V19+W19+X19+Y19+Z19+S19+AB19+AC19))</f>
        <v>0.83715529753265605</v>
      </c>
      <c r="AB23" s="92">
        <f>((T8+U9+V10+W11+X12+Y13+Z14+AA15+S7+AC17)/(T19+U19+V19+W19+X19+Y19+Z19+AA19+S19+AC19))</f>
        <v>0.84653465346534651</v>
      </c>
      <c r="AC23" s="92">
        <f>((T8+U9+V10+W11+X12+Y13+Z14+AA15+AB16+S7)/(T19+U19+V19+W19+X19+Y19+Z19+AA19+AB19+S19))</f>
        <v>0.86089238845144356</v>
      </c>
    </row>
    <row r="24" spans="1:32" ht="19.5" thickBot="1" x14ac:dyDescent="0.3">
      <c r="B24" s="114" t="s">
        <v>0</v>
      </c>
      <c r="C24" s="50" t="s">
        <v>6</v>
      </c>
      <c r="D24" s="8">
        <f xml:space="preserve"> ROUND(S$29,2)</f>
        <v>0.79</v>
      </c>
      <c r="E24" s="8">
        <f xml:space="preserve"> ROUND($S$24, 2)</f>
        <v>0.79</v>
      </c>
      <c r="F24" s="8">
        <f xml:space="preserve"> ROUND($S$25, 2)</f>
        <v>0.87</v>
      </c>
      <c r="G24" s="8">
        <f xml:space="preserve"> ROUND($S$27, 2)</f>
        <v>0.82</v>
      </c>
      <c r="H24" s="108">
        <f xml:space="preserve"> ROUND($S$26, 2)</f>
        <v>0.85</v>
      </c>
      <c r="I24" s="111">
        <f xml:space="preserve"> ROUND($S$28, 2)</f>
        <v>0.8</v>
      </c>
      <c r="J24" s="90">
        <f xml:space="preserve"> ROUND(S23, 2)</f>
        <v>0.85</v>
      </c>
      <c r="K24"/>
      <c r="L24"/>
      <c r="M24" s="11" t="s">
        <v>16</v>
      </c>
      <c r="N24" s="11" t="s">
        <v>15</v>
      </c>
      <c r="O24" s="11" t="s">
        <v>17</v>
      </c>
      <c r="R24" s="10" t="s">
        <v>2</v>
      </c>
      <c r="S24">
        <f>(S7/S$19)</f>
        <v>0.7852494577006508</v>
      </c>
      <c r="T24">
        <f>(T8/T$19)</f>
        <v>0.86301369863013699</v>
      </c>
      <c r="U24">
        <f>(U9/U$19)</f>
        <v>0.89344262295081966</v>
      </c>
      <c r="V24">
        <f>(V10/V$19)</f>
        <v>0.52631578947368418</v>
      </c>
      <c r="W24">
        <f>(W11/W$19)</f>
        <v>0.93924050632911393</v>
      </c>
      <c r="X24">
        <f>(X12/X$19)</f>
        <v>0.9494949494949495</v>
      </c>
      <c r="Y24">
        <f>(Y13/Y$19)</f>
        <v>0.81441048034934493</v>
      </c>
      <c r="Z24">
        <f>(Z14/Z$19)</f>
        <v>1</v>
      </c>
      <c r="AA24">
        <f>(AA15/AA$19)</f>
        <v>0.98139534883720925</v>
      </c>
      <c r="AB24">
        <f>(AB16/AB$19)</f>
        <v>0.83878504672897192</v>
      </c>
      <c r="AC24">
        <f>(AC17/AC$19)</f>
        <v>0.82023289665211063</v>
      </c>
      <c r="AD24">
        <f>((V10+W11+X12+Y13+Z14+AA15+AB16+AC17)/(V19+W19+X19+Y19+Z19+AA19+AB19+AC19))</f>
        <v>0.85252996005326231</v>
      </c>
    </row>
    <row r="25" spans="1:32" ht="19.5" thickBot="1" x14ac:dyDescent="0.3">
      <c r="B25" s="115"/>
      <c r="C25" s="50" t="s">
        <v>24</v>
      </c>
      <c r="D25" s="8">
        <f xml:space="preserve"> ROUND(T$29,2)</f>
        <v>0.88</v>
      </c>
      <c r="E25" s="8">
        <f xml:space="preserve"> ROUND($T$24, 2)</f>
        <v>0.86</v>
      </c>
      <c r="F25" s="8">
        <f xml:space="preserve"> ROUND($T$25, 2)</f>
        <v>0.98</v>
      </c>
      <c r="G25" s="8">
        <f xml:space="preserve"> ROUND($T$27, 2)</f>
        <v>0.92</v>
      </c>
      <c r="H25" s="109"/>
      <c r="I25" s="112"/>
      <c r="J25" s="90">
        <f xml:space="preserve"> ROUND(T23, 2)</f>
        <v>0.85</v>
      </c>
      <c r="K25"/>
      <c r="L25"/>
      <c r="M25" s="11">
        <f>(($O$25-$N$25)/(1-$N$25))</f>
        <v>0.79611550921329133</v>
      </c>
      <c r="N25">
        <f>(($S$19*$AE$7+$T$19*$AE$8+$U$19*$AE$9+$V$19*$AE$10+$W$19*$AE$11+$X$19*$AE$12+$Y$19*$AE$13+$Z$19*$AE$14+$AA$19*$AE$15+$AB$19*$AE$16+$AC$19*$AE$17)/(框選統計!L19*框選統計!L19))</f>
        <v>0.24398135951882097</v>
      </c>
      <c r="O25">
        <f>(($S$7+$T$8+$U$9+$V$10+$W$11+$X$12+$Y$13+$Z$14+$AA$15+$AB$16+$AC$17)/(框選統計!L19))</f>
        <v>0.84585952446023505</v>
      </c>
      <c r="R25" s="10" t="s">
        <v>3</v>
      </c>
      <c r="S25">
        <f>(S7/$AE7)</f>
        <v>0.86810551558753002</v>
      </c>
      <c r="T25">
        <f>(T8/$AE8)</f>
        <v>0.984375</v>
      </c>
      <c r="U25">
        <f>(U9/$AE9)</f>
        <v>0.93965517241379315</v>
      </c>
      <c r="V25">
        <f>(V10/$AE10)</f>
        <v>1</v>
      </c>
      <c r="W25">
        <f>(W11/$AE11)</f>
        <v>0.96866840731070492</v>
      </c>
      <c r="X25">
        <f>(X12/$AE12)</f>
        <v>0.98947368421052628</v>
      </c>
      <c r="Y25">
        <f>(Y13/$AE13)</f>
        <v>0.86143187066974591</v>
      </c>
      <c r="Z25">
        <f>(Z14/$AE14)</f>
        <v>1</v>
      </c>
      <c r="AA25">
        <f>(AA15/$AE15)</f>
        <v>0.95909090909090911</v>
      </c>
      <c r="AB25">
        <f>(AB16/$AE16)</f>
        <v>0.87560975609756098</v>
      </c>
      <c r="AC25">
        <f>(AC17/$AE17)</f>
        <v>0.62611111111111106</v>
      </c>
      <c r="AD25">
        <f>((V10+W11+X12+Y13+Z14+AA15+AB16+AC17)/(AE10+AE11+AE12+AE13+AE14+AE15+AE16+AE17))</f>
        <v>0.76061776061776065</v>
      </c>
    </row>
    <row r="26" spans="1:32" ht="20.25" thickBot="1" x14ac:dyDescent="0.3">
      <c r="B26" s="115"/>
      <c r="C26" s="4" t="s">
        <v>25</v>
      </c>
      <c r="D26" s="8">
        <f xml:space="preserve"> ROUND(U$29,2)</f>
        <v>0.84</v>
      </c>
      <c r="E26" s="8">
        <f xml:space="preserve"> ROUND($U$24, 2)</f>
        <v>0.89</v>
      </c>
      <c r="F26" s="8">
        <f xml:space="preserve"> ROUND($U$25, 2)</f>
        <v>0.94</v>
      </c>
      <c r="G26" s="8">
        <f xml:space="preserve"> ROUND($U$27, 2)</f>
        <v>0.92</v>
      </c>
      <c r="H26" s="109"/>
      <c r="I26" s="112"/>
      <c r="J26" s="90">
        <f xml:space="preserve"> ROUND(U23, 2)</f>
        <v>0.84</v>
      </c>
      <c r="K26"/>
      <c r="L26"/>
      <c r="R26" s="10" t="s">
        <v>13</v>
      </c>
      <c r="S26">
        <f>((S7+T8+U9+V10+W11+X12+Y13+Z14+AA15+AB16+AC17)/(框選統計!L19))</f>
        <v>0.84585952446023505</v>
      </c>
    </row>
    <row r="27" spans="1:32" ht="20.25" thickBot="1" x14ac:dyDescent="0.3">
      <c r="B27" s="115"/>
      <c r="C27" s="4" t="s">
        <v>26</v>
      </c>
      <c r="D27" s="8">
        <f xml:space="preserve"> ROUND(V$29,2)</f>
        <v>0.47</v>
      </c>
      <c r="E27" s="8">
        <f xml:space="preserve"> ROUND($V$24, 2)</f>
        <v>0.53</v>
      </c>
      <c r="F27" s="8">
        <f xml:space="preserve"> ROUND($V$25, 2)</f>
        <v>1</v>
      </c>
      <c r="G27" s="8">
        <f xml:space="preserve"> ROUND($V$27, 2)</f>
        <v>0.69</v>
      </c>
      <c r="H27" s="109"/>
      <c r="I27" s="112"/>
      <c r="J27" s="90">
        <f xml:space="preserve"> ROUND(V23, 2)</f>
        <v>0.85</v>
      </c>
      <c r="K27"/>
      <c r="L27"/>
      <c r="R27" s="10" t="s">
        <v>14</v>
      </c>
      <c r="S27">
        <f t="shared" ref="S27:AC27" si="9">(2/(1/S25+1/S24))</f>
        <v>0.82460136674259688</v>
      </c>
      <c r="T27">
        <f t="shared" si="9"/>
        <v>0.91970802919708039</v>
      </c>
      <c r="U27">
        <f t="shared" si="9"/>
        <v>0.91596638655462193</v>
      </c>
      <c r="V27">
        <f t="shared" si="9"/>
        <v>0.68965517241379304</v>
      </c>
      <c r="W27">
        <f t="shared" si="9"/>
        <v>0.95372750642673509</v>
      </c>
      <c r="X27">
        <f t="shared" si="9"/>
        <v>0.96907216494845361</v>
      </c>
      <c r="Y27">
        <f t="shared" si="9"/>
        <v>0.83726150392817045</v>
      </c>
      <c r="Z27">
        <f t="shared" si="9"/>
        <v>1</v>
      </c>
      <c r="AA27">
        <f>(2/(1/AA25+1/AA24))</f>
        <v>0.97011494252873565</v>
      </c>
      <c r="AB27">
        <f t="shared" si="9"/>
        <v>0.85680190930787581</v>
      </c>
      <c r="AC27">
        <f t="shared" si="9"/>
        <v>0.71014492753623193</v>
      </c>
      <c r="AD27">
        <f>(2/(1/AD25+1/AD24))</f>
        <v>0.80395542301051648</v>
      </c>
    </row>
    <row r="28" spans="1:32" ht="20.25" thickBot="1" x14ac:dyDescent="0.3">
      <c r="B28" s="115"/>
      <c r="C28" s="4" t="s">
        <v>27</v>
      </c>
      <c r="D28" s="8">
        <f xml:space="preserve"> ROUND(W$29,2)</f>
        <v>0.97</v>
      </c>
      <c r="E28" s="8">
        <f xml:space="preserve"> ROUND($W$24, 2)</f>
        <v>0.94</v>
      </c>
      <c r="F28" s="8">
        <f xml:space="preserve"> ROUND($W$25, 2)</f>
        <v>0.97</v>
      </c>
      <c r="G28" s="8">
        <f xml:space="preserve"> ROUND($W$27, 2)</f>
        <v>0.95</v>
      </c>
      <c r="H28" s="109"/>
      <c r="I28" s="112"/>
      <c r="J28" s="90">
        <f xml:space="preserve"> ROUND(W23, 2)</f>
        <v>0.83</v>
      </c>
      <c r="K28"/>
      <c r="L28"/>
      <c r="R28" s="10" t="s">
        <v>5</v>
      </c>
      <c r="S28">
        <f>$M$25</f>
        <v>0.79611550921329133</v>
      </c>
    </row>
    <row r="29" spans="1:32" ht="20.25" thickBot="1" x14ac:dyDescent="0.3">
      <c r="B29" s="115"/>
      <c r="C29" s="4" t="s">
        <v>28</v>
      </c>
      <c r="D29" s="8">
        <f xml:space="preserve"> ROUND(X$29,2)</f>
        <v>0.94</v>
      </c>
      <c r="E29" s="8">
        <f xml:space="preserve"> ROUND($X$24, 2)</f>
        <v>0.95</v>
      </c>
      <c r="F29" s="8">
        <f xml:space="preserve"> ROUND($X$25, 2)</f>
        <v>0.99</v>
      </c>
      <c r="G29" s="8">
        <f xml:space="preserve"> ROUND($X$27, 2)</f>
        <v>0.97</v>
      </c>
      <c r="H29" s="109"/>
      <c r="I29" s="112"/>
      <c r="J29" s="90">
        <f xml:space="preserve"> ROUND(X23, 2)</f>
        <v>0.84</v>
      </c>
      <c r="R29" s="10" t="s">
        <v>46</v>
      </c>
      <c r="S29">
        <v>0.79</v>
      </c>
      <c r="T29">
        <v>0.88200000000000001</v>
      </c>
      <c r="U29">
        <v>0.83499999999999996</v>
      </c>
      <c r="V29">
        <v>0.46700000000000003</v>
      </c>
      <c r="W29">
        <v>0.97</v>
      </c>
      <c r="X29">
        <v>0.94399999999999995</v>
      </c>
      <c r="Y29">
        <v>0.83199999999999996</v>
      </c>
      <c r="Z29">
        <v>0.995</v>
      </c>
      <c r="AA29">
        <v>0.97799999999999998</v>
      </c>
      <c r="AB29">
        <v>0.84199999999999997</v>
      </c>
      <c r="AC29">
        <v>0.80300000000000005</v>
      </c>
    </row>
    <row r="30" spans="1:32" ht="20.25" thickBot="1" x14ac:dyDescent="0.3">
      <c r="A30" s="6"/>
      <c r="B30" s="115"/>
      <c r="C30" s="4" t="s">
        <v>29</v>
      </c>
      <c r="D30" s="8">
        <f xml:space="preserve"> ROUND(Y$29,2)</f>
        <v>0.83</v>
      </c>
      <c r="E30" s="8">
        <f xml:space="preserve"> ROUND($Y$24, 2)</f>
        <v>0.81</v>
      </c>
      <c r="F30" s="8">
        <f xml:space="preserve"> ROUND($Y$25, 2)</f>
        <v>0.86</v>
      </c>
      <c r="G30" s="8">
        <f xml:space="preserve"> ROUND($Y$27, 2)</f>
        <v>0.84</v>
      </c>
      <c r="H30" s="109"/>
      <c r="I30" s="112"/>
      <c r="J30" s="90">
        <f xml:space="preserve"> ROUND(Y23, 2)</f>
        <v>0.85</v>
      </c>
      <c r="K30" s="6"/>
      <c r="L30" s="12"/>
      <c r="M30" s="46"/>
      <c r="N30" s="46"/>
      <c r="O30" s="6"/>
      <c r="P30" s="6"/>
      <c r="Q30" s="6"/>
      <c r="R30" s="6"/>
      <c r="S30" s="6"/>
      <c r="T30" s="6"/>
    </row>
    <row r="31" spans="1:32" ht="20.25" thickBot="1" x14ac:dyDescent="0.3">
      <c r="A31" s="6"/>
      <c r="B31" s="115"/>
      <c r="C31" s="35" t="s">
        <v>30</v>
      </c>
      <c r="D31" s="8">
        <f xml:space="preserve"> ROUND(Z$29,2)</f>
        <v>1</v>
      </c>
      <c r="E31" s="8">
        <f xml:space="preserve"> ROUND($Z$24, 2)</f>
        <v>1</v>
      </c>
      <c r="F31" s="8">
        <f xml:space="preserve"> ROUND($Z$25, 2)</f>
        <v>1</v>
      </c>
      <c r="G31" s="8">
        <f xml:space="preserve"> ROUND($Z$27, 2)</f>
        <v>1</v>
      </c>
      <c r="H31" s="109"/>
      <c r="I31" s="112"/>
      <c r="J31" s="90">
        <f xml:space="preserve"> ROUND(Z23, 2)</f>
        <v>0.84</v>
      </c>
      <c r="K31" s="13"/>
      <c r="L31" s="13"/>
      <c r="M31" s="6"/>
      <c r="N31" s="6"/>
      <c r="O31" s="13"/>
      <c r="P31" s="13"/>
      <c r="Q31" s="13"/>
      <c r="R31" s="13"/>
      <c r="S31" s="42"/>
      <c r="T31" s="42"/>
    </row>
    <row r="32" spans="1:32" ht="20.25" thickBot="1" x14ac:dyDescent="0.3">
      <c r="A32" s="6"/>
      <c r="B32" s="115"/>
      <c r="C32" s="35" t="s">
        <v>31</v>
      </c>
      <c r="D32" s="8">
        <f xml:space="preserve"> ROUND(AA$29,2)</f>
        <v>0.98</v>
      </c>
      <c r="E32" s="8">
        <f xml:space="preserve"> ROUND($AA$24, 2)</f>
        <v>0.98</v>
      </c>
      <c r="F32" s="8">
        <f xml:space="preserve"> ROUND($AA$25, 2)</f>
        <v>0.96</v>
      </c>
      <c r="G32" s="8">
        <f xml:space="preserve"> ROUND($AA$27, 2)</f>
        <v>0.97</v>
      </c>
      <c r="H32" s="109"/>
      <c r="I32" s="112"/>
      <c r="J32" s="90">
        <f xml:space="preserve"> ROUND(AA23, 2)</f>
        <v>0.84</v>
      </c>
      <c r="K32" s="27"/>
      <c r="L32" s="13"/>
      <c r="M32" s="6"/>
      <c r="N32" s="6"/>
      <c r="O32" s="13"/>
      <c r="P32" s="13"/>
      <c r="Q32" s="13"/>
      <c r="R32" s="13"/>
      <c r="S32" s="92">
        <f>((T8+U9+V10+W11+X12+Y13+Z14+AA15+AB16+AC17)/(T19+U19+V19+W19+X19+Y19+Z19+AA19+AB19+AC19))</f>
        <v>0.85432947796186309</v>
      </c>
      <c r="T32" s="42"/>
      <c r="U32" s="11"/>
      <c r="V32" s="11"/>
      <c r="W32" s="11"/>
    </row>
    <row r="33" spans="1:21" ht="20.25" thickBot="1" x14ac:dyDescent="0.3">
      <c r="A33" s="6"/>
      <c r="B33" s="115"/>
      <c r="C33" s="35" t="s">
        <v>32</v>
      </c>
      <c r="D33" s="8">
        <f xml:space="preserve"> ROUND(AB$29,2)</f>
        <v>0.84</v>
      </c>
      <c r="E33" s="8">
        <f xml:space="preserve"> ROUND($AB$24, 2)</f>
        <v>0.84</v>
      </c>
      <c r="F33" s="8">
        <f xml:space="preserve"> ROUND($AB$25, 2)</f>
        <v>0.88</v>
      </c>
      <c r="G33" s="8">
        <f xml:space="preserve"> ROUND($AB$27, 2)</f>
        <v>0.86</v>
      </c>
      <c r="H33" s="109"/>
      <c r="I33" s="112"/>
      <c r="J33" s="90">
        <f xml:space="preserve"> ROUND(AB23, 2)</f>
        <v>0.85</v>
      </c>
      <c r="K33" s="6"/>
      <c r="L33" s="13"/>
      <c r="M33" s="6"/>
      <c r="N33" s="6"/>
      <c r="O33" s="13"/>
      <c r="P33" s="13"/>
      <c r="Q33" s="13"/>
      <c r="R33" s="13"/>
      <c r="S33" s="42"/>
      <c r="T33" s="42"/>
      <c r="U33" s="11"/>
    </row>
    <row r="34" spans="1:21" ht="20.25" thickBot="1" x14ac:dyDescent="0.3">
      <c r="A34" s="6"/>
      <c r="B34" s="115"/>
      <c r="C34" s="35" t="s">
        <v>33</v>
      </c>
      <c r="D34" s="8">
        <f xml:space="preserve"> ROUND(AC$29,2)</f>
        <v>0.8</v>
      </c>
      <c r="E34" s="8">
        <f xml:space="preserve"> ROUND($AC$24, 2)</f>
        <v>0.82</v>
      </c>
      <c r="F34" s="8">
        <f xml:space="preserve"> ROUND($AC$25, 2)</f>
        <v>0.63</v>
      </c>
      <c r="G34" s="8">
        <f xml:space="preserve"> ROUND($AC$27, 2)</f>
        <v>0.71</v>
      </c>
      <c r="H34" s="109"/>
      <c r="I34" s="112"/>
      <c r="J34" s="90">
        <f xml:space="preserve"> ROUND(AC23, 2)</f>
        <v>0.86</v>
      </c>
      <c r="K34" s="27"/>
      <c r="L34" s="13"/>
      <c r="M34" s="6"/>
      <c r="N34" s="6"/>
      <c r="O34" s="13"/>
      <c r="P34" s="13"/>
      <c r="Q34" s="13"/>
      <c r="R34" s="13"/>
      <c r="S34" s="42"/>
      <c r="T34" s="42"/>
    </row>
    <row r="35" spans="1:21" ht="19.5" thickBot="1" x14ac:dyDescent="0.3">
      <c r="A35" s="27"/>
      <c r="B35" s="116"/>
      <c r="C35" s="2" t="s">
        <v>18</v>
      </c>
      <c r="D35" s="9">
        <f xml:space="preserve"> ROUND($D$36, 2)</f>
        <v>0.85</v>
      </c>
      <c r="E35" s="9">
        <f xml:space="preserve"> ROUND($E$36, 2)</f>
        <v>0.86</v>
      </c>
      <c r="F35" s="9">
        <f xml:space="preserve"> ROUND($F$36, 2)</f>
        <v>0.92</v>
      </c>
      <c r="G35" s="9">
        <f xml:space="preserve"> ROUND($G$36, 2)</f>
        <v>0.88</v>
      </c>
      <c r="H35" s="110"/>
      <c r="I35" s="113"/>
      <c r="J35" s="91">
        <f xml:space="preserve"> ROUND(J36, 2)</f>
        <v>0.85</v>
      </c>
      <c r="K35" s="27"/>
      <c r="M35" s="27"/>
      <c r="N35" s="27"/>
      <c r="O35" s="27"/>
      <c r="P35" s="27"/>
      <c r="Q35" s="27"/>
      <c r="R35" s="27"/>
      <c r="S35" s="27"/>
      <c r="T35" s="27"/>
    </row>
    <row r="36" spans="1:21" x14ac:dyDescent="0.25">
      <c r="A36" s="27"/>
      <c r="B36" s="27"/>
      <c r="D36">
        <f>AVERAGE(D24:D34)</f>
        <v>0.84909090909090912</v>
      </c>
      <c r="E36">
        <f>AVERAGE(E24:E34)</f>
        <v>0.85545454545454547</v>
      </c>
      <c r="F36">
        <f>AVERAGE(F24:F34)</f>
        <v>0.91636363636363649</v>
      </c>
      <c r="G36">
        <f>AVERAGE(G24:G34)</f>
        <v>0.87727272727272709</v>
      </c>
      <c r="H36" s="27"/>
      <c r="I36" s="27"/>
      <c r="J36" s="87">
        <f>AVERAGE(J24:J34)</f>
        <v>0.84545454545454535</v>
      </c>
      <c r="M36" s="27"/>
      <c r="N36" s="27"/>
      <c r="O36" s="27"/>
      <c r="P36" s="27"/>
      <c r="Q36" s="27"/>
      <c r="R36" s="27"/>
      <c r="S36" s="27"/>
      <c r="T36" s="27"/>
    </row>
    <row r="37" spans="1:21" ht="18.75" x14ac:dyDescent="0.25">
      <c r="A37" s="27"/>
      <c r="B37" s="42"/>
      <c r="H37" s="27"/>
      <c r="I37" s="27"/>
      <c r="J37" s="27"/>
      <c r="L37" s="27"/>
      <c r="M37" s="27"/>
      <c r="N37" s="42"/>
      <c r="O37" s="42"/>
      <c r="P37" s="42"/>
      <c r="Q37" s="42"/>
      <c r="R37" s="42"/>
      <c r="S37" s="42"/>
      <c r="T37" s="27"/>
      <c r="U37" s="27"/>
    </row>
    <row r="38" spans="1:21" ht="19.5" thickBot="1" x14ac:dyDescent="0.3">
      <c r="A38" s="27"/>
      <c r="B38" s="44"/>
      <c r="C38" s="6"/>
      <c r="D38" s="6"/>
      <c r="E38" s="6"/>
      <c r="F38" s="6"/>
      <c r="G38" s="6"/>
      <c r="H38" s="27"/>
      <c r="I38" s="27"/>
      <c r="J38" s="27"/>
      <c r="L38" s="27"/>
      <c r="M38" s="27"/>
      <c r="N38" s="44"/>
      <c r="O38" s="6"/>
      <c r="P38" s="6"/>
      <c r="Q38" s="6"/>
      <c r="R38" s="6"/>
      <c r="S38" s="6"/>
      <c r="T38" s="27"/>
      <c r="U38" s="27"/>
    </row>
    <row r="39" spans="1:21" ht="20.25" thickBot="1" x14ac:dyDescent="0.3">
      <c r="A39" s="27"/>
      <c r="B39" s="106" t="s">
        <v>42</v>
      </c>
      <c r="C39" s="107"/>
      <c r="D39" s="14" t="s">
        <v>1</v>
      </c>
      <c r="E39" s="15" t="s">
        <v>2</v>
      </c>
      <c r="F39" s="16" t="s">
        <v>3</v>
      </c>
      <c r="G39" s="17" t="s">
        <v>14</v>
      </c>
      <c r="H39" s="18" t="s">
        <v>4</v>
      </c>
      <c r="I39" s="47" t="s">
        <v>5</v>
      </c>
      <c r="J39" s="27"/>
      <c r="K39" s="67"/>
      <c r="L39" s="67"/>
      <c r="M39" s="67"/>
      <c r="N39" s="67"/>
      <c r="O39" s="67"/>
      <c r="P39" s="67"/>
      <c r="Q39" s="67"/>
      <c r="R39" s="67"/>
      <c r="S39" s="41"/>
      <c r="T39" s="27"/>
      <c r="U39" s="27"/>
    </row>
    <row r="40" spans="1:21" ht="20.25" thickBot="1" x14ac:dyDescent="0.3">
      <c r="A40" s="27"/>
      <c r="B40" s="114" t="s">
        <v>0</v>
      </c>
      <c r="C40" s="50" t="s">
        <v>6</v>
      </c>
      <c r="D40" s="8">
        <f xml:space="preserve"> ROUND(S$29,2)</f>
        <v>0.79</v>
      </c>
      <c r="E40" s="8">
        <f xml:space="preserve"> ROUND($S$24, 2)</f>
        <v>0.79</v>
      </c>
      <c r="F40" s="8">
        <f xml:space="preserve"> ROUND($S$25, 2)</f>
        <v>0.87</v>
      </c>
      <c r="G40" s="8">
        <f xml:space="preserve"> ROUND($S$27, 2)</f>
        <v>0.82</v>
      </c>
      <c r="H40" s="111">
        <f xml:space="preserve"> ROUND($S$26, 2)</f>
        <v>0.85</v>
      </c>
      <c r="I40" s="111">
        <f xml:space="preserve"> ROUND($S$28, 2)</f>
        <v>0.8</v>
      </c>
      <c r="J40" s="27"/>
      <c r="K40" s="67"/>
      <c r="L40" s="67"/>
      <c r="M40" s="67"/>
      <c r="N40" s="67"/>
      <c r="O40" s="67"/>
      <c r="P40" s="67"/>
      <c r="Q40" s="67"/>
      <c r="R40" s="67"/>
      <c r="S40" s="41"/>
      <c r="T40" s="27"/>
      <c r="U40" s="27"/>
    </row>
    <row r="41" spans="1:21" ht="20.25" thickBot="1" x14ac:dyDescent="0.3">
      <c r="A41" s="27"/>
      <c r="B41" s="115"/>
      <c r="C41" s="50" t="s">
        <v>24</v>
      </c>
      <c r="D41" s="8">
        <f xml:space="preserve"> ROUND(T$29,2)</f>
        <v>0.88</v>
      </c>
      <c r="E41" s="8">
        <f xml:space="preserve"> ROUND($T$24, 2)</f>
        <v>0.86</v>
      </c>
      <c r="F41" s="8">
        <f xml:space="preserve"> ROUND($T$25, 2)</f>
        <v>0.98</v>
      </c>
      <c r="G41" s="8">
        <f xml:space="preserve"> ROUND($T$27, 2)</f>
        <v>0.92</v>
      </c>
      <c r="H41" s="112"/>
      <c r="I41" s="112"/>
      <c r="J41" s="27"/>
      <c r="K41" s="67"/>
      <c r="L41" s="67"/>
      <c r="M41" s="67"/>
      <c r="N41" s="67"/>
      <c r="O41" s="67"/>
      <c r="P41" s="67"/>
      <c r="Q41" s="67"/>
      <c r="R41" s="67"/>
      <c r="S41" s="41"/>
      <c r="T41" s="27"/>
      <c r="U41" s="27"/>
    </row>
    <row r="42" spans="1:21" ht="20.25" thickBot="1" x14ac:dyDescent="0.3">
      <c r="A42" s="27"/>
      <c r="B42" s="115"/>
      <c r="C42" s="4" t="s">
        <v>25</v>
      </c>
      <c r="D42" s="8">
        <f xml:space="preserve"> ROUND(U$29,2)</f>
        <v>0.84</v>
      </c>
      <c r="E42" s="8">
        <f xml:space="preserve"> ROUND($U$24, 2)</f>
        <v>0.89</v>
      </c>
      <c r="F42" s="8">
        <f xml:space="preserve"> ROUND($U$25, 2)</f>
        <v>0.94</v>
      </c>
      <c r="G42" s="8">
        <f xml:space="preserve"> ROUND($U$27, 2)</f>
        <v>0.92</v>
      </c>
      <c r="H42" s="112"/>
      <c r="I42" s="112"/>
      <c r="J42" s="27"/>
      <c r="K42" s="67"/>
      <c r="L42" s="67"/>
      <c r="M42" s="67"/>
      <c r="N42" s="67"/>
      <c r="O42" s="67"/>
      <c r="P42" s="67"/>
      <c r="Q42" s="67"/>
      <c r="R42" s="67"/>
      <c r="S42" s="41"/>
      <c r="T42" s="27"/>
      <c r="U42" s="27"/>
    </row>
    <row r="43" spans="1:21" ht="20.25" thickBot="1" x14ac:dyDescent="0.3">
      <c r="A43" s="27"/>
      <c r="B43" s="115"/>
      <c r="C43" s="4" t="s">
        <v>55</v>
      </c>
      <c r="D43" s="8">
        <f xml:space="preserve"> ROUND(AVERAGE(V29:AC29),2)</f>
        <v>0.85</v>
      </c>
      <c r="E43" s="8">
        <f xml:space="preserve"> ROUND(AD24, 2)</f>
        <v>0.85</v>
      </c>
      <c r="F43" s="8">
        <f xml:space="preserve"> ROUND(AD25, 2)</f>
        <v>0.76</v>
      </c>
      <c r="G43" s="8">
        <f xml:space="preserve"> ROUND(AD27, 2)</f>
        <v>0.8</v>
      </c>
      <c r="H43" s="112"/>
      <c r="I43" s="112"/>
      <c r="J43" s="27"/>
      <c r="K43" s="67"/>
      <c r="L43" s="67"/>
      <c r="M43" s="67"/>
      <c r="N43" s="67"/>
      <c r="O43" s="67"/>
      <c r="P43" s="67"/>
      <c r="Q43" s="67"/>
      <c r="R43" s="67"/>
      <c r="S43" s="41"/>
      <c r="T43" s="27"/>
      <c r="U43" s="27"/>
    </row>
    <row r="44" spans="1:21" ht="20.25" customHeight="1" thickBot="1" x14ac:dyDescent="0.3">
      <c r="A44" s="27"/>
      <c r="B44" s="116"/>
      <c r="C44" s="2" t="s">
        <v>18</v>
      </c>
      <c r="D44" s="9">
        <f xml:space="preserve"> ROUND($D$36, 2)</f>
        <v>0.85</v>
      </c>
      <c r="E44" s="9">
        <f xml:space="preserve"> ROUND($E$36, 2)</f>
        <v>0.86</v>
      </c>
      <c r="F44" s="9">
        <f xml:space="preserve"> ROUND($F$36, 2)</f>
        <v>0.92</v>
      </c>
      <c r="G44" s="9">
        <f xml:space="preserve"> ROUND($G$36, 2)</f>
        <v>0.88</v>
      </c>
      <c r="H44" s="113"/>
      <c r="I44" s="113"/>
      <c r="J44" s="27"/>
      <c r="K44" s="67"/>
      <c r="L44" s="67"/>
      <c r="M44" s="67"/>
      <c r="N44" s="67"/>
      <c r="O44" s="67"/>
      <c r="P44" s="67"/>
      <c r="Q44" s="67"/>
      <c r="R44" s="67"/>
      <c r="S44" s="27"/>
      <c r="T44" s="27"/>
      <c r="U44" s="27"/>
    </row>
    <row r="45" spans="1:21" s="11" customFormat="1" ht="19.5" customHeight="1" x14ac:dyDescent="0.25">
      <c r="A45" s="27"/>
      <c r="B45" s="46"/>
      <c r="C45" s="26"/>
      <c r="D45" s="26">
        <f>AVERAGE(D40:D43)</f>
        <v>0.84</v>
      </c>
      <c r="E45" s="26">
        <f>AVERAGE(E40:E43)</f>
        <v>0.84750000000000003</v>
      </c>
      <c r="F45" s="26">
        <f>AVERAGE(F40:F43)</f>
        <v>0.88749999999999996</v>
      </c>
      <c r="G45" s="26">
        <f>AVERAGE(G40:G43)</f>
        <v>0.86499999999999999</v>
      </c>
      <c r="H45" s="66"/>
      <c r="I45" s="66"/>
      <c r="J45" s="27"/>
      <c r="K45" s="67"/>
      <c r="L45" s="67"/>
      <c r="M45" s="67"/>
      <c r="N45" s="67"/>
      <c r="O45" s="67"/>
      <c r="P45" s="67"/>
      <c r="Q45" s="67"/>
      <c r="R45" s="67"/>
      <c r="S45" s="27"/>
      <c r="T45" s="27"/>
      <c r="U45" s="27"/>
    </row>
    <row r="46" spans="1:21" ht="19.5" customHeight="1" x14ac:dyDescent="0.25">
      <c r="A46" s="27"/>
      <c r="B46" s="46"/>
      <c r="C46" s="27"/>
      <c r="D46" s="27"/>
      <c r="E46" s="27"/>
      <c r="F46" s="27"/>
      <c r="G46" s="27"/>
      <c r="H46" s="66"/>
      <c r="I46" s="66"/>
      <c r="J46" s="27"/>
      <c r="K46" s="67"/>
      <c r="L46" s="67"/>
      <c r="M46" s="67"/>
      <c r="N46" s="67"/>
      <c r="O46" s="67"/>
      <c r="P46" s="67"/>
      <c r="Q46" s="67"/>
      <c r="R46" s="67"/>
      <c r="S46" s="27"/>
      <c r="T46" s="27"/>
      <c r="U46" s="27"/>
    </row>
    <row r="47" spans="1:21" ht="19.5" customHeight="1" x14ac:dyDescent="0.25">
      <c r="A47" s="27"/>
      <c r="B47" s="46"/>
      <c r="C47" s="27"/>
      <c r="D47" s="27"/>
      <c r="E47" s="27"/>
      <c r="F47" s="27"/>
      <c r="G47" s="27"/>
      <c r="H47" s="66"/>
      <c r="I47" s="66"/>
      <c r="J47" s="27"/>
      <c r="K47" s="67"/>
      <c r="L47" s="67"/>
      <c r="M47" s="67"/>
      <c r="N47" s="67"/>
      <c r="O47" s="67"/>
      <c r="P47" s="67"/>
      <c r="Q47" s="67"/>
      <c r="R47" s="67"/>
      <c r="S47" s="27"/>
      <c r="T47" s="27"/>
      <c r="U47" s="27"/>
    </row>
    <row r="48" spans="1:21" ht="19.5" customHeight="1" x14ac:dyDescent="0.25">
      <c r="A48" s="27"/>
      <c r="B48" s="46"/>
      <c r="C48" s="27"/>
      <c r="D48" s="27"/>
      <c r="E48" s="27"/>
      <c r="F48" s="27"/>
      <c r="G48" s="27"/>
      <c r="H48" s="66"/>
      <c r="I48" s="66"/>
      <c r="J48" s="27"/>
      <c r="K48" s="67"/>
      <c r="L48" s="67"/>
      <c r="M48" s="67"/>
      <c r="N48" s="67"/>
      <c r="O48" s="67"/>
      <c r="P48" s="67"/>
      <c r="Q48" s="67"/>
      <c r="R48" s="67"/>
      <c r="S48" s="27"/>
      <c r="T48" s="27"/>
      <c r="U48" s="27"/>
    </row>
    <row r="49" spans="1:21" ht="19.5" customHeight="1" x14ac:dyDescent="0.25">
      <c r="A49" s="27"/>
      <c r="B49" s="46"/>
      <c r="C49" s="27"/>
      <c r="D49" s="27"/>
      <c r="E49" s="27"/>
      <c r="F49" s="27"/>
      <c r="G49" s="27"/>
      <c r="H49" s="66"/>
      <c r="I49" s="66"/>
      <c r="J49" s="27"/>
      <c r="K49" s="67"/>
      <c r="L49" s="67"/>
      <c r="M49" s="67"/>
      <c r="N49" s="67"/>
      <c r="O49" s="67"/>
      <c r="P49" s="67"/>
      <c r="Q49" s="67"/>
      <c r="R49" s="67"/>
      <c r="S49" s="27"/>
      <c r="T49" s="27"/>
      <c r="U49" s="27"/>
    </row>
    <row r="50" spans="1:21" ht="19.5" customHeight="1" x14ac:dyDescent="0.25">
      <c r="A50" s="27"/>
      <c r="B50" s="46"/>
      <c r="C50" s="27"/>
      <c r="D50" s="27"/>
      <c r="E50" s="27"/>
      <c r="F50" s="27"/>
      <c r="G50" s="27"/>
      <c r="H50" s="66"/>
      <c r="I50" s="66"/>
      <c r="J50" s="27"/>
      <c r="K50" s="67"/>
      <c r="L50" s="67"/>
      <c r="M50" s="67"/>
      <c r="N50" s="67"/>
      <c r="O50" s="67"/>
      <c r="P50" s="67"/>
      <c r="Q50" s="67"/>
      <c r="R50" s="67"/>
      <c r="S50" s="27"/>
      <c r="T50" s="27"/>
      <c r="U50" s="27"/>
    </row>
    <row r="51" spans="1:21" ht="18.75" customHeight="1" x14ac:dyDescent="0.25">
      <c r="A51" s="27"/>
      <c r="B51" s="46"/>
      <c r="C51" s="27"/>
      <c r="D51" s="27"/>
      <c r="E51" s="27"/>
      <c r="F51" s="27"/>
      <c r="G51" s="27"/>
      <c r="H51" s="66"/>
      <c r="I51" s="66"/>
      <c r="J51" s="27"/>
      <c r="K51" s="67"/>
      <c r="L51" s="67"/>
      <c r="M51" s="67"/>
      <c r="N51" s="67"/>
      <c r="O51" s="67"/>
      <c r="P51" s="67"/>
      <c r="Q51" s="67"/>
      <c r="R51" s="67"/>
      <c r="S51" s="27"/>
      <c r="T51" s="27"/>
      <c r="U51" s="27"/>
    </row>
    <row r="52" spans="1:21" ht="18.75" x14ac:dyDescent="0.25">
      <c r="A52" s="46"/>
      <c r="B52" s="27"/>
      <c r="C52" s="27"/>
      <c r="D52" s="27"/>
      <c r="E52" s="27"/>
      <c r="F52" s="27"/>
      <c r="G52" s="27"/>
      <c r="H52" s="27"/>
      <c r="I52" s="27"/>
      <c r="J52" s="6"/>
      <c r="K52" s="27"/>
      <c r="L52" s="27"/>
      <c r="M52" s="27"/>
      <c r="N52" s="27"/>
      <c r="O52" s="27"/>
      <c r="P52" s="27"/>
      <c r="Q52" s="27"/>
      <c r="R52" s="27"/>
      <c r="S52" s="6"/>
      <c r="T52" s="6"/>
      <c r="U52" s="27"/>
    </row>
    <row r="53" spans="1:21" ht="18.75" x14ac:dyDescent="0.25">
      <c r="A53" s="6"/>
      <c r="B53" s="6"/>
      <c r="C53" s="6"/>
      <c r="D53" s="6"/>
      <c r="E53" s="6"/>
      <c r="F53" s="6"/>
      <c r="G53" s="6"/>
      <c r="H53" s="42"/>
      <c r="I53" s="13"/>
      <c r="J53" s="13"/>
      <c r="K53" s="13"/>
      <c r="L53" s="13"/>
      <c r="M53" s="6"/>
      <c r="N53" s="6"/>
      <c r="O53" s="13"/>
      <c r="P53" s="13"/>
      <c r="Q53" s="13"/>
      <c r="R53" s="13"/>
      <c r="S53" s="42"/>
      <c r="T53" s="42"/>
      <c r="U53" s="27"/>
    </row>
    <row r="54" spans="1:21" ht="19.5" customHeight="1" x14ac:dyDescent="0.25">
      <c r="A54" s="6"/>
      <c r="B54" s="6"/>
      <c r="C54" s="13"/>
      <c r="D54" s="13"/>
      <c r="E54" s="13"/>
      <c r="F54" s="13"/>
      <c r="G54" s="42"/>
      <c r="H54" s="42"/>
      <c r="I54" s="13"/>
      <c r="J54" s="13"/>
      <c r="K54" s="13"/>
      <c r="L54" s="13"/>
      <c r="M54" s="6"/>
      <c r="N54" s="6"/>
      <c r="O54" s="13"/>
      <c r="P54" s="13"/>
      <c r="Q54" s="13"/>
      <c r="R54" s="13"/>
      <c r="S54" s="42"/>
      <c r="T54" s="42"/>
      <c r="U54" s="27"/>
    </row>
    <row r="55" spans="1:21" ht="18.75" x14ac:dyDescent="0.25">
      <c r="A55" s="6"/>
      <c r="B55" s="6"/>
      <c r="C55" s="13"/>
      <c r="D55" s="13"/>
      <c r="E55" s="13"/>
      <c r="F55" s="13"/>
      <c r="G55" s="42"/>
      <c r="H55" s="42"/>
      <c r="I55" s="13"/>
      <c r="J55" s="13"/>
      <c r="K55" s="13"/>
      <c r="L55" s="13"/>
      <c r="M55" s="6"/>
      <c r="N55" s="6"/>
      <c r="O55" s="13"/>
      <c r="P55" s="13"/>
      <c r="Q55" s="13"/>
      <c r="R55" s="13"/>
      <c r="S55" s="42"/>
      <c r="T55" s="42"/>
      <c r="U55" s="27"/>
    </row>
    <row r="56" spans="1:21" ht="18.75" x14ac:dyDescent="0.25">
      <c r="A56" s="6"/>
      <c r="B56" s="6"/>
      <c r="C56" s="13"/>
      <c r="D56" s="13"/>
      <c r="E56" s="13"/>
      <c r="F56" s="13"/>
      <c r="G56" s="42"/>
      <c r="H56" s="42"/>
      <c r="I56" s="13"/>
      <c r="J56" s="13"/>
      <c r="K56" s="13"/>
      <c r="L56" s="13"/>
      <c r="M56" s="6"/>
      <c r="N56" s="6"/>
      <c r="O56" s="13"/>
      <c r="P56" s="13"/>
      <c r="Q56" s="13"/>
      <c r="R56" s="13"/>
      <c r="S56" s="42"/>
      <c r="T56" s="42"/>
      <c r="U56" s="27"/>
    </row>
    <row r="57" spans="1:21" ht="18.75" x14ac:dyDescent="0.25">
      <c r="A57" s="27"/>
      <c r="B57" s="27"/>
      <c r="C57" s="13"/>
      <c r="D57" s="13"/>
      <c r="E57" s="13"/>
      <c r="F57" s="13"/>
      <c r="G57" s="42"/>
      <c r="H57" s="27"/>
      <c r="I57" s="27"/>
      <c r="J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:2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:21" x14ac:dyDescent="0.25">
      <c r="C59" s="27"/>
      <c r="D59" s="27"/>
      <c r="E59" s="27"/>
      <c r="F59" s="27"/>
      <c r="G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</sheetData>
  <mergeCells count="10">
    <mergeCell ref="H40:H44"/>
    <mergeCell ref="I40:I44"/>
    <mergeCell ref="B40:B44"/>
    <mergeCell ref="B39:C39"/>
    <mergeCell ref="B5:O5"/>
    <mergeCell ref="R5:AE5"/>
    <mergeCell ref="B23:C23"/>
    <mergeCell ref="H24:H35"/>
    <mergeCell ref="I24:I35"/>
    <mergeCell ref="B24:B35"/>
  </mergeCells>
  <phoneticPr fontId="1" type="noConversion"/>
  <pageMargins left="0.7" right="0.7" top="0.75" bottom="0.75" header="0.3" footer="0.3"/>
  <pageSetup paperSize="9" orientation="portrait" r:id="rId1"/>
  <ignoredErrors>
    <ignoredError sqref="D4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2F9C-58BD-4E2F-AABA-561D078D00F7}">
  <dimension ref="A1:AF66"/>
  <sheetViews>
    <sheetView topLeftCell="A10" zoomScale="85" zoomScaleNormal="85" workbookViewId="0">
      <selection activeCell="P38" sqref="P38"/>
    </sheetView>
  </sheetViews>
  <sheetFormatPr defaultRowHeight="16.5" x14ac:dyDescent="0.25"/>
  <cols>
    <col min="2" max="2" width="14.625" bestFit="1" customWidth="1"/>
    <col min="3" max="8" width="12.625" customWidth="1"/>
    <col min="9" max="12" width="12.625" style="11" customWidth="1"/>
    <col min="13" max="15" width="12.625" customWidth="1"/>
    <col min="16" max="16" width="13.375" bestFit="1" customWidth="1"/>
    <col min="17" max="18" width="14.625" customWidth="1"/>
    <col min="19" max="31" width="12.625" customWidth="1"/>
  </cols>
  <sheetData>
    <row r="1" spans="2:32" x14ac:dyDescent="0.25">
      <c r="C1" s="11"/>
      <c r="D1" s="11"/>
      <c r="E1" s="11"/>
    </row>
    <row r="2" spans="2:32" x14ac:dyDescent="0.25">
      <c r="K2"/>
      <c r="L2"/>
    </row>
    <row r="4" spans="2:32" ht="17.25" thickBot="1" x14ac:dyDescent="0.3"/>
    <row r="5" spans="2:32" ht="20.25" thickBot="1" x14ac:dyDescent="0.3">
      <c r="B5" s="103" t="s">
        <v>56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  <c r="Q5" s="11"/>
      <c r="R5" s="103" t="s">
        <v>58</v>
      </c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5"/>
    </row>
    <row r="6" spans="2:32" ht="38.25" thickBot="1" x14ac:dyDescent="0.3">
      <c r="B6" s="20" t="s">
        <v>9</v>
      </c>
      <c r="C6" s="55" t="s">
        <v>6</v>
      </c>
      <c r="D6" s="56" t="s">
        <v>24</v>
      </c>
      <c r="E6" s="57" t="s">
        <v>25</v>
      </c>
      <c r="F6" s="57" t="s">
        <v>26</v>
      </c>
      <c r="G6" s="57" t="s">
        <v>27</v>
      </c>
      <c r="H6" s="57" t="s">
        <v>28</v>
      </c>
      <c r="I6" s="57" t="s">
        <v>29</v>
      </c>
      <c r="J6" s="58" t="s">
        <v>30</v>
      </c>
      <c r="K6" s="58" t="s">
        <v>31</v>
      </c>
      <c r="L6" s="58" t="s">
        <v>32</v>
      </c>
      <c r="M6" s="58" t="s">
        <v>33</v>
      </c>
      <c r="N6" s="19" t="s">
        <v>10</v>
      </c>
      <c r="O6" s="19" t="s">
        <v>11</v>
      </c>
      <c r="Q6" s="11"/>
      <c r="R6" s="20" t="s">
        <v>9</v>
      </c>
      <c r="S6" s="55" t="s">
        <v>6</v>
      </c>
      <c r="T6" s="56" t="s">
        <v>24</v>
      </c>
      <c r="U6" s="57" t="s">
        <v>25</v>
      </c>
      <c r="V6" s="57" t="s">
        <v>26</v>
      </c>
      <c r="W6" s="57" t="s">
        <v>27</v>
      </c>
      <c r="X6" s="57" t="s">
        <v>28</v>
      </c>
      <c r="Y6" s="57" t="s">
        <v>29</v>
      </c>
      <c r="Z6" s="58" t="s">
        <v>30</v>
      </c>
      <c r="AA6" s="58" t="s">
        <v>31</v>
      </c>
      <c r="AB6" s="58" t="s">
        <v>32</v>
      </c>
      <c r="AC6" s="58" t="s">
        <v>33</v>
      </c>
      <c r="AD6" s="19" t="s">
        <v>10</v>
      </c>
      <c r="AE6" s="19" t="s">
        <v>11</v>
      </c>
    </row>
    <row r="7" spans="2:32" ht="20.25" thickBot="1" x14ac:dyDescent="0.3">
      <c r="B7" s="59" t="s">
        <v>6</v>
      </c>
      <c r="C7" s="21">
        <v>0.89</v>
      </c>
      <c r="D7" s="21"/>
      <c r="E7" s="21">
        <v>0.01</v>
      </c>
      <c r="F7" s="21"/>
      <c r="G7" s="21"/>
      <c r="H7" s="21"/>
      <c r="I7" s="21"/>
      <c r="J7" s="21"/>
      <c r="K7" s="21"/>
      <c r="L7" s="21"/>
      <c r="M7" s="21"/>
      <c r="N7" s="21">
        <v>0.11</v>
      </c>
      <c r="O7" s="21">
        <f>$P7</f>
        <v>1.01</v>
      </c>
      <c r="P7">
        <f>SUM($C7:$N7)</f>
        <v>1.01</v>
      </c>
      <c r="Q7" s="11"/>
      <c r="R7" s="59" t="s">
        <v>6</v>
      </c>
      <c r="S7" s="54">
        <f>ROUND(C7*框選統計!$L$8,0)</f>
        <v>410</v>
      </c>
      <c r="T7" s="21">
        <f>ROUND(D7*框選統計!$L$9,0)</f>
        <v>0</v>
      </c>
      <c r="U7" s="21">
        <f>ROUND(E7*框選統計!$L$10,0)</f>
        <v>1</v>
      </c>
      <c r="V7" s="21">
        <f>ROUND(F7*框選統計!$L$11,0)</f>
        <v>0</v>
      </c>
      <c r="W7" s="21">
        <f>ROUND(G7*框選統計!$L$12,0)</f>
        <v>0</v>
      </c>
      <c r="X7" s="21">
        <f>ROUND(H7*框選統計!$L$13,0)</f>
        <v>0</v>
      </c>
      <c r="Y7" s="21">
        <f>ROUND(I7*框選統計!$L$14,0)</f>
        <v>0</v>
      </c>
      <c r="Z7" s="21">
        <f>ROUND(J7*框選統計!$L$15,0)</f>
        <v>0</v>
      </c>
      <c r="AA7" s="21">
        <f>ROUND(K7*框選統計!$L$16,0)</f>
        <v>0</v>
      </c>
      <c r="AB7" s="21">
        <f>ROUND(L7*框選統計!$L$17,0)</f>
        <v>0</v>
      </c>
      <c r="AC7" s="21">
        <f>ROUND(M7*框選統計!$L$18,0)</f>
        <v>0</v>
      </c>
      <c r="AD7" s="21">
        <f>ROUND(N7*框選統計!$L8,0)</f>
        <v>51</v>
      </c>
      <c r="AE7" s="21">
        <f>$AF7</f>
        <v>462</v>
      </c>
      <c r="AF7">
        <f t="shared" ref="AF7:AF18" si="0">SUM($S7:$AD7)</f>
        <v>462</v>
      </c>
    </row>
    <row r="8" spans="2:32" ht="20.25" thickBot="1" x14ac:dyDescent="0.3">
      <c r="B8" s="59" t="s">
        <v>24</v>
      </c>
      <c r="C8" s="21"/>
      <c r="D8" s="21">
        <v>0.92</v>
      </c>
      <c r="E8" s="21"/>
      <c r="F8" s="21"/>
      <c r="G8" s="21"/>
      <c r="H8" s="21"/>
      <c r="I8" s="21"/>
      <c r="J8" s="21"/>
      <c r="K8" s="21"/>
      <c r="L8" s="21"/>
      <c r="M8" s="21"/>
      <c r="N8" s="21">
        <v>0.01</v>
      </c>
      <c r="O8" s="21">
        <f t="shared" ref="O8:O18" si="1">$P8</f>
        <v>0.93</v>
      </c>
      <c r="P8">
        <f t="shared" ref="P8:P17" si="2">SUM($C8:$N8)</f>
        <v>0.93</v>
      </c>
      <c r="Q8" s="11"/>
      <c r="R8" s="59" t="s">
        <v>24</v>
      </c>
      <c r="S8" s="62">
        <f>ROUND(C8*框選統計!$L$8,0)</f>
        <v>0</v>
      </c>
      <c r="T8" s="54">
        <f>ROUND(D8*框選統計!$L$9,0)</f>
        <v>67</v>
      </c>
      <c r="U8" s="21">
        <f>ROUND(E8*框選統計!$L$10,0)</f>
        <v>0</v>
      </c>
      <c r="V8" s="21">
        <f>ROUND(F8*框選統計!$L$11,0)</f>
        <v>0</v>
      </c>
      <c r="W8" s="21">
        <f>ROUND(G8*框選統計!$L$12,0)</f>
        <v>0</v>
      </c>
      <c r="X8" s="21">
        <f>ROUND(H8*框選統計!$L$13,0)</f>
        <v>0</v>
      </c>
      <c r="Y8" s="21">
        <f>ROUND(I8*框選統計!$L$14,0)</f>
        <v>0</v>
      </c>
      <c r="Z8" s="21">
        <f>ROUND(J8*框選統計!$L$15,0)</f>
        <v>0</v>
      </c>
      <c r="AA8" s="21">
        <f>ROUND(K8*框選統計!$L$16,0)</f>
        <v>0</v>
      </c>
      <c r="AB8" s="21">
        <f>ROUND(L8*框選統計!$L$17,0)</f>
        <v>0</v>
      </c>
      <c r="AC8" s="21">
        <f>ROUND(M8*框選統計!$L$18,0)</f>
        <v>0</v>
      </c>
      <c r="AD8" s="21">
        <f>ROUND(N8*框選統計!$L9,0)</f>
        <v>1</v>
      </c>
      <c r="AE8" s="21">
        <f t="shared" ref="AE8:AE18" si="3">$AF8</f>
        <v>68</v>
      </c>
      <c r="AF8">
        <f t="shared" si="0"/>
        <v>68</v>
      </c>
    </row>
    <row r="9" spans="2:32" ht="20.25" thickBot="1" x14ac:dyDescent="0.3">
      <c r="B9" s="60" t="s">
        <v>25</v>
      </c>
      <c r="C9" s="21"/>
      <c r="D9" s="21"/>
      <c r="E9" s="21">
        <v>0.93</v>
      </c>
      <c r="F9" s="21">
        <v>0.1</v>
      </c>
      <c r="G9" s="21"/>
      <c r="H9" s="21"/>
      <c r="I9" s="21"/>
      <c r="J9" s="21"/>
      <c r="K9" s="21"/>
      <c r="L9" s="21"/>
      <c r="M9" s="21"/>
      <c r="N9" s="21">
        <v>0.04</v>
      </c>
      <c r="O9" s="21">
        <f t="shared" si="1"/>
        <v>1.07</v>
      </c>
      <c r="P9">
        <f t="shared" si="2"/>
        <v>1.07</v>
      </c>
      <c r="Q9" s="11"/>
      <c r="R9" s="60" t="s">
        <v>25</v>
      </c>
      <c r="S9" s="62">
        <f>ROUND(C9*框選統計!$L$8,0)</f>
        <v>0</v>
      </c>
      <c r="T9" s="62">
        <f>ROUND(D9*框選統計!$L$9,0)</f>
        <v>0</v>
      </c>
      <c r="U9" s="54">
        <f>ROUND(E9*框選統計!$L$10,0)</f>
        <v>113</v>
      </c>
      <c r="V9" s="21">
        <f>ROUND(F9*框選統計!$L$11,0)</f>
        <v>2</v>
      </c>
      <c r="W9" s="21">
        <f>ROUND(G9*框選統計!$L$12,0)</f>
        <v>0</v>
      </c>
      <c r="X9" s="21">
        <f>ROUND(H9*框選統計!$L$13,0)</f>
        <v>0</v>
      </c>
      <c r="Y9" s="21">
        <f>ROUND(I9*框選統計!$L$14,0)</f>
        <v>0</v>
      </c>
      <c r="Z9" s="21">
        <f>ROUND(J9*框選統計!$L$15,0)</f>
        <v>0</v>
      </c>
      <c r="AA9" s="21">
        <f>ROUND(K9*框選統計!$L$16,0)</f>
        <v>0</v>
      </c>
      <c r="AB9" s="21">
        <f>ROUND(L9*框選統計!$L$17,0)</f>
        <v>0</v>
      </c>
      <c r="AC9" s="21">
        <f>ROUND(M9*框選統計!$L$18,0)</f>
        <v>0</v>
      </c>
      <c r="AD9" s="21">
        <f>ROUND(N9*框選統計!$L10,0)</f>
        <v>5</v>
      </c>
      <c r="AE9" s="21">
        <f t="shared" si="3"/>
        <v>120</v>
      </c>
      <c r="AF9">
        <f t="shared" si="0"/>
        <v>120</v>
      </c>
    </row>
    <row r="10" spans="2:32" ht="20.25" thickBot="1" x14ac:dyDescent="0.3">
      <c r="B10" s="60" t="s">
        <v>26</v>
      </c>
      <c r="C10" s="21"/>
      <c r="D10" s="21"/>
      <c r="E10" s="21"/>
      <c r="F10" s="21">
        <v>0.57999999999999996</v>
      </c>
      <c r="G10" s="21"/>
      <c r="H10" s="21"/>
      <c r="I10" s="21"/>
      <c r="J10" s="21"/>
      <c r="K10" s="21"/>
      <c r="L10" s="21"/>
      <c r="M10" s="21"/>
      <c r="N10" s="21">
        <v>0.01</v>
      </c>
      <c r="O10" s="21">
        <f t="shared" si="1"/>
        <v>0.59</v>
      </c>
      <c r="P10">
        <f t="shared" si="2"/>
        <v>0.59</v>
      </c>
      <c r="Q10" s="11"/>
      <c r="R10" s="60" t="s">
        <v>26</v>
      </c>
      <c r="S10" s="62">
        <f>ROUND(C10*框選統計!$L$8,0)</f>
        <v>0</v>
      </c>
      <c r="T10" s="62">
        <f>ROUND(D10*框選統計!$L$9,0)</f>
        <v>0</v>
      </c>
      <c r="U10" s="21">
        <f>ROUND(E10*框選統計!$L$10,0)</f>
        <v>0</v>
      </c>
      <c r="V10" s="54">
        <f>ROUND(F10*框選統計!$L$11,0)</f>
        <v>11</v>
      </c>
      <c r="W10" s="21">
        <f>ROUND(G10*框選統計!$L$12,0)</f>
        <v>0</v>
      </c>
      <c r="X10" s="21">
        <f>ROUND(H10*框選統計!$L$13,0)</f>
        <v>0</v>
      </c>
      <c r="Y10" s="21">
        <f>ROUND(I10*框選統計!$L$14,0)</f>
        <v>0</v>
      </c>
      <c r="Z10" s="21">
        <f>ROUND(J10*框選統計!$L$15,0)</f>
        <v>0</v>
      </c>
      <c r="AA10" s="21">
        <f>ROUND(K10*框選統計!$L$16,0)</f>
        <v>0</v>
      </c>
      <c r="AB10" s="21">
        <f>ROUND(L10*框選統計!$L$17,0)</f>
        <v>0</v>
      </c>
      <c r="AC10" s="21">
        <f>ROUND(M10*框選統計!$L$18,0)</f>
        <v>0</v>
      </c>
      <c r="AD10" s="21">
        <f>ROUND(N10*框選統計!$L11,0)</f>
        <v>0</v>
      </c>
      <c r="AE10" s="21">
        <f t="shared" si="3"/>
        <v>11</v>
      </c>
      <c r="AF10">
        <f t="shared" si="0"/>
        <v>11</v>
      </c>
    </row>
    <row r="11" spans="2:32" ht="20.25" thickBot="1" x14ac:dyDescent="0.3">
      <c r="B11" s="60" t="s">
        <v>27</v>
      </c>
      <c r="C11" s="21"/>
      <c r="D11" s="21"/>
      <c r="E11" s="21"/>
      <c r="F11" s="21"/>
      <c r="G11" s="21">
        <v>0.94</v>
      </c>
      <c r="H11" s="21">
        <v>0.01</v>
      </c>
      <c r="I11" s="21"/>
      <c r="J11" s="21"/>
      <c r="K11" s="21"/>
      <c r="L11" s="21"/>
      <c r="M11" s="21"/>
      <c r="N11" s="21">
        <v>0.03</v>
      </c>
      <c r="O11" s="21">
        <f t="shared" si="1"/>
        <v>0.98</v>
      </c>
      <c r="P11">
        <f t="shared" si="2"/>
        <v>0.98</v>
      </c>
      <c r="Q11" s="11"/>
      <c r="R11" s="60" t="s">
        <v>27</v>
      </c>
      <c r="S11" s="62">
        <f>ROUND(C11*框選統計!$L$8,0)</f>
        <v>0</v>
      </c>
      <c r="T11" s="62">
        <f>ROUND(D11*框選統計!$L$9,0)</f>
        <v>0</v>
      </c>
      <c r="U11" s="21">
        <f>ROUND(E11*框選統計!$L$10,0)</f>
        <v>0</v>
      </c>
      <c r="V11" s="21">
        <f>ROUND(F11*框選統計!$L$11,0)</f>
        <v>0</v>
      </c>
      <c r="W11" s="54">
        <f>ROUND(G11*框選統計!$L$12,0)</f>
        <v>371</v>
      </c>
      <c r="X11" s="21">
        <f>ROUND(H11*框選統計!$L$13,0)</f>
        <v>1</v>
      </c>
      <c r="Y11" s="21">
        <f>ROUND(I11*框選統計!$L$14,0)</f>
        <v>0</v>
      </c>
      <c r="Z11" s="21">
        <f>ROUND(J11*框選統計!$L$15,0)</f>
        <v>0</v>
      </c>
      <c r="AA11" s="21">
        <f>ROUND(K11*框選統計!$L$16,0)</f>
        <v>0</v>
      </c>
      <c r="AB11" s="21">
        <f>ROUND(L11*框選統計!$L$17,0)</f>
        <v>0</v>
      </c>
      <c r="AC11" s="21">
        <f>ROUND(M11*框選統計!$L$18,0)</f>
        <v>0</v>
      </c>
      <c r="AD11" s="21">
        <f>ROUND(N11*框選統計!$L12,0)</f>
        <v>12</v>
      </c>
      <c r="AE11" s="21">
        <f t="shared" si="3"/>
        <v>384</v>
      </c>
      <c r="AF11">
        <f t="shared" si="0"/>
        <v>384</v>
      </c>
    </row>
    <row r="12" spans="2:32" ht="20.25" thickBot="1" x14ac:dyDescent="0.3">
      <c r="B12" s="60" t="s">
        <v>28</v>
      </c>
      <c r="C12" s="21"/>
      <c r="D12" s="21"/>
      <c r="E12" s="21"/>
      <c r="F12" s="21"/>
      <c r="G12" s="21">
        <v>0.01</v>
      </c>
      <c r="H12" s="21">
        <v>0.93</v>
      </c>
      <c r="I12" s="21"/>
      <c r="J12" s="21"/>
      <c r="K12" s="21"/>
      <c r="L12" s="21"/>
      <c r="M12" s="21"/>
      <c r="N12" s="21">
        <v>0.01</v>
      </c>
      <c r="O12" s="21">
        <f t="shared" si="1"/>
        <v>0.95000000000000007</v>
      </c>
      <c r="P12">
        <f t="shared" si="2"/>
        <v>0.95000000000000007</v>
      </c>
      <c r="Q12" s="11"/>
      <c r="R12" s="60" t="s">
        <v>28</v>
      </c>
      <c r="S12" s="62">
        <f>ROUND(C12*框選統計!$L$8,0)</f>
        <v>0</v>
      </c>
      <c r="T12" s="62">
        <f>ROUND(D12*框選統計!$L$9,0)</f>
        <v>0</v>
      </c>
      <c r="U12" s="21">
        <f>ROUND(E12*框選統計!$L$10,0)</f>
        <v>0</v>
      </c>
      <c r="V12" s="21">
        <f>ROUND(F12*框選統計!$L$11,0)</f>
        <v>0</v>
      </c>
      <c r="W12" s="21">
        <f>ROUND(G12*框選統計!$L$12,0)</f>
        <v>4</v>
      </c>
      <c r="X12" s="54">
        <f>ROUND(H12*框選統計!$L$13,0)</f>
        <v>92</v>
      </c>
      <c r="Y12" s="21">
        <f>ROUND(I12*框選統計!$L$14,0)</f>
        <v>0</v>
      </c>
      <c r="Z12" s="21">
        <f>ROUND(J12*框選統計!$L$15,0)</f>
        <v>0</v>
      </c>
      <c r="AA12" s="21">
        <f>ROUND(K12*框選統計!$L$16,0)</f>
        <v>0</v>
      </c>
      <c r="AB12" s="21">
        <f>ROUND(L12*框選統計!$L$17,0)</f>
        <v>0</v>
      </c>
      <c r="AC12" s="21">
        <f>ROUND(M12*框選統計!$L$18,0)</f>
        <v>0</v>
      </c>
      <c r="AD12" s="21">
        <f>ROUND(N12*框選統計!$L13,0)</f>
        <v>1</v>
      </c>
      <c r="AE12" s="21">
        <f t="shared" si="3"/>
        <v>97</v>
      </c>
      <c r="AF12">
        <f t="shared" si="0"/>
        <v>97</v>
      </c>
    </row>
    <row r="13" spans="2:32" ht="20.25" thickBot="1" x14ac:dyDescent="0.3">
      <c r="B13" s="60" t="s">
        <v>29</v>
      </c>
      <c r="C13" s="21"/>
      <c r="D13" s="21"/>
      <c r="E13" s="21"/>
      <c r="F13" s="21"/>
      <c r="G13" s="21"/>
      <c r="H13" s="21"/>
      <c r="I13" s="21">
        <v>0.84</v>
      </c>
      <c r="J13" s="21"/>
      <c r="K13" s="21"/>
      <c r="L13" s="21"/>
      <c r="M13" s="21"/>
      <c r="N13" s="21">
        <v>0.16</v>
      </c>
      <c r="O13" s="21">
        <f t="shared" si="1"/>
        <v>1</v>
      </c>
      <c r="P13">
        <f t="shared" si="2"/>
        <v>1</v>
      </c>
      <c r="Q13" s="11"/>
      <c r="R13" s="60" t="s">
        <v>29</v>
      </c>
      <c r="S13" s="62">
        <f>ROUND(C13*框選統計!$L$8,0)</f>
        <v>0</v>
      </c>
      <c r="T13" s="62">
        <f>ROUND(D13*框選統計!$L$9,0)</f>
        <v>0</v>
      </c>
      <c r="U13" s="21">
        <f>ROUND(E13*框選統計!$L$10,0)</f>
        <v>0</v>
      </c>
      <c r="V13" s="21">
        <f>ROUND(F13*框選統計!$L$11,0)</f>
        <v>0</v>
      </c>
      <c r="W13" s="21">
        <f>ROUND(G13*框選統計!$L$12,0)</f>
        <v>0</v>
      </c>
      <c r="X13" s="21">
        <f>ROUND(H13*框選統計!$L$13,0)</f>
        <v>0</v>
      </c>
      <c r="Y13" s="54">
        <f>ROUND(I13*框選統計!$L$14,0)</f>
        <v>385</v>
      </c>
      <c r="Z13" s="21">
        <f>ROUND(J13*框選統計!$L$15,0)</f>
        <v>0</v>
      </c>
      <c r="AA13" s="21">
        <f>ROUND(K13*框選統計!$L$16,0)</f>
        <v>0</v>
      </c>
      <c r="AB13" s="21">
        <f>ROUND(L13*框選統計!$L$17,0)</f>
        <v>0</v>
      </c>
      <c r="AC13" s="21">
        <f>ROUND(M13*框選統計!$L$18,0)</f>
        <v>0</v>
      </c>
      <c r="AD13" s="21">
        <f>ROUND(N13*框選統計!$L14,0)</f>
        <v>73</v>
      </c>
      <c r="AE13" s="21">
        <f t="shared" si="3"/>
        <v>458</v>
      </c>
      <c r="AF13">
        <f t="shared" si="0"/>
        <v>458</v>
      </c>
    </row>
    <row r="14" spans="2:32" ht="20.25" thickBot="1" x14ac:dyDescent="0.3">
      <c r="B14" s="61" t="s">
        <v>30</v>
      </c>
      <c r="C14" s="21"/>
      <c r="D14" s="21"/>
      <c r="E14" s="21"/>
      <c r="F14" s="21"/>
      <c r="G14" s="21"/>
      <c r="H14" s="21"/>
      <c r="I14" s="21"/>
      <c r="J14" s="21">
        <v>1</v>
      </c>
      <c r="K14" s="21"/>
      <c r="L14" s="21"/>
      <c r="M14" s="21"/>
      <c r="N14" s="21">
        <v>0</v>
      </c>
      <c r="O14" s="21">
        <f t="shared" si="1"/>
        <v>1</v>
      </c>
      <c r="P14">
        <f t="shared" si="2"/>
        <v>1</v>
      </c>
      <c r="Q14" s="11"/>
      <c r="R14" s="61" t="s">
        <v>30</v>
      </c>
      <c r="S14" s="62">
        <f>ROUND(C14*框選統計!$L$8,0)</f>
        <v>0</v>
      </c>
      <c r="T14" s="62">
        <f>ROUND(D14*框選統計!$L$9,0)</f>
        <v>0</v>
      </c>
      <c r="U14" s="21">
        <f>ROUND(E14*框選統計!$L$10,0)</f>
        <v>0</v>
      </c>
      <c r="V14" s="21">
        <f>ROUND(F14*框選統計!$L$11,0)</f>
        <v>0</v>
      </c>
      <c r="W14" s="21">
        <f>ROUND(G14*框選統計!$L$12,0)</f>
        <v>0</v>
      </c>
      <c r="X14" s="21">
        <f>ROUND(H14*框選統計!$L$13,0)</f>
        <v>0</v>
      </c>
      <c r="Y14" s="21">
        <f>ROUND(I14*框選統計!$L$14,0)</f>
        <v>0</v>
      </c>
      <c r="Z14" s="54">
        <f>ROUND(J14*框選統計!$L$15,0)</f>
        <v>16</v>
      </c>
      <c r="AA14" s="21">
        <f>ROUND(K14*框選統計!$L$16,0)</f>
        <v>0</v>
      </c>
      <c r="AB14" s="21">
        <f>ROUND(L14*框選統計!$L$17,0)</f>
        <v>0</v>
      </c>
      <c r="AC14" s="21">
        <f>ROUND(M14*框選統計!$L$18,0)</f>
        <v>0</v>
      </c>
      <c r="AD14" s="21">
        <f>ROUND(N14*框選統計!$L15,0)</f>
        <v>0</v>
      </c>
      <c r="AE14" s="21">
        <f t="shared" si="3"/>
        <v>16</v>
      </c>
      <c r="AF14">
        <f t="shared" si="0"/>
        <v>16</v>
      </c>
    </row>
    <row r="15" spans="2:32" ht="20.25" thickBot="1" x14ac:dyDescent="0.3">
      <c r="B15" s="61" t="s">
        <v>31</v>
      </c>
      <c r="C15" s="21"/>
      <c r="D15" s="21"/>
      <c r="E15" s="21"/>
      <c r="F15" s="21"/>
      <c r="G15" s="21"/>
      <c r="H15" s="21"/>
      <c r="I15" s="21"/>
      <c r="J15" s="21"/>
      <c r="K15" s="21">
        <v>0.97</v>
      </c>
      <c r="L15" s="21"/>
      <c r="M15" s="21"/>
      <c r="N15" s="21">
        <v>0.06</v>
      </c>
      <c r="O15" s="21">
        <f t="shared" si="1"/>
        <v>1.03</v>
      </c>
      <c r="P15">
        <f t="shared" si="2"/>
        <v>1.03</v>
      </c>
      <c r="Q15" s="11"/>
      <c r="R15" s="61" t="s">
        <v>31</v>
      </c>
      <c r="S15" s="62">
        <f>ROUND(C15*框選統計!$L$8,0)</f>
        <v>0</v>
      </c>
      <c r="T15" s="62">
        <f>ROUND(D15*框選統計!$L$9,0)</f>
        <v>0</v>
      </c>
      <c r="U15" s="21">
        <f>ROUND(E15*框選統計!$L$10,0)</f>
        <v>0</v>
      </c>
      <c r="V15" s="21">
        <f>ROUND(F15*框選統計!$L$11,0)</f>
        <v>0</v>
      </c>
      <c r="W15" s="21">
        <f>ROUND(G15*框選統計!$L$12,0)</f>
        <v>0</v>
      </c>
      <c r="X15" s="21">
        <f>ROUND(H15*框選統計!$L$13,0)</f>
        <v>0</v>
      </c>
      <c r="Y15" s="21">
        <f>ROUND(I15*框選統計!$L$14,0)</f>
        <v>0</v>
      </c>
      <c r="Z15" s="21">
        <f>ROUND(J15*框選統計!$L$15,0)</f>
        <v>0</v>
      </c>
      <c r="AA15" s="54">
        <f>ROUND(K15*框選統計!$L$16,0)</f>
        <v>209</v>
      </c>
      <c r="AB15" s="21">
        <f>ROUND(L15*框選統計!$L$17,0)</f>
        <v>0</v>
      </c>
      <c r="AC15" s="21">
        <f>ROUND(M15*框選統計!$L$18,0)</f>
        <v>0</v>
      </c>
      <c r="AD15" s="21">
        <f>ROUND(N15*框選統計!$L16,0)</f>
        <v>13</v>
      </c>
      <c r="AE15" s="21">
        <f t="shared" si="3"/>
        <v>222</v>
      </c>
      <c r="AF15">
        <f t="shared" si="0"/>
        <v>222</v>
      </c>
    </row>
    <row r="16" spans="2:32" ht="20.25" thickBot="1" x14ac:dyDescent="0.3">
      <c r="B16" s="61" t="s">
        <v>32</v>
      </c>
      <c r="C16" s="21"/>
      <c r="D16" s="21"/>
      <c r="E16" s="21"/>
      <c r="F16" s="21"/>
      <c r="G16" s="21"/>
      <c r="H16" s="21"/>
      <c r="I16" s="21"/>
      <c r="J16" s="21"/>
      <c r="K16" s="21"/>
      <c r="L16" s="21">
        <v>0.86</v>
      </c>
      <c r="M16" s="21"/>
      <c r="N16" s="21">
        <v>0.1</v>
      </c>
      <c r="O16" s="21">
        <f t="shared" si="1"/>
        <v>0.96</v>
      </c>
      <c r="P16">
        <f t="shared" si="2"/>
        <v>0.96</v>
      </c>
      <c r="Q16" s="11"/>
      <c r="R16" s="61" t="s">
        <v>32</v>
      </c>
      <c r="S16" s="62">
        <f>ROUND(C16*框選統計!$L$8,0)</f>
        <v>0</v>
      </c>
      <c r="T16" s="62">
        <f>ROUND(D16*框選統計!$L$9,0)</f>
        <v>0</v>
      </c>
      <c r="U16" s="21">
        <f>ROUND(E16*框選統計!$L$10,0)</f>
        <v>0</v>
      </c>
      <c r="V16" s="21">
        <f>ROUND(F16*框選統計!$L$11,0)</f>
        <v>0</v>
      </c>
      <c r="W16" s="21">
        <f>ROUND(G16*框選統計!$L$12,0)</f>
        <v>0</v>
      </c>
      <c r="X16" s="21">
        <f>ROUND(H16*框選統計!$L$13,0)</f>
        <v>0</v>
      </c>
      <c r="Y16" s="21">
        <f>ROUND(I16*框選統計!$L$14,0)</f>
        <v>0</v>
      </c>
      <c r="Z16" s="21">
        <f>ROUND(J16*框選統計!$L$15,0)</f>
        <v>0</v>
      </c>
      <c r="AA16" s="21">
        <f>ROUND(K16*框選統計!$L$16,0)</f>
        <v>0</v>
      </c>
      <c r="AB16" s="54">
        <f>ROUND(L16*框選統計!$L$17,0)</f>
        <v>367</v>
      </c>
      <c r="AC16" s="21">
        <f>ROUND(M16*框選統計!$L$18,0)</f>
        <v>0</v>
      </c>
      <c r="AD16" s="21">
        <f>ROUND(N16*框選統計!$L17,0)</f>
        <v>43</v>
      </c>
      <c r="AE16" s="21">
        <f t="shared" si="3"/>
        <v>410</v>
      </c>
      <c r="AF16">
        <f t="shared" si="0"/>
        <v>410</v>
      </c>
    </row>
    <row r="17" spans="1:32" ht="20.25" thickBot="1" x14ac:dyDescent="0.3">
      <c r="B17" s="61" t="s">
        <v>33</v>
      </c>
      <c r="C17" s="21"/>
      <c r="D17" s="21"/>
      <c r="E17" s="21"/>
      <c r="F17" s="21"/>
      <c r="G17" s="21"/>
      <c r="H17" s="21"/>
      <c r="I17" s="21"/>
      <c r="J17" s="21"/>
      <c r="K17" s="21"/>
      <c r="L17" s="21">
        <v>0.02</v>
      </c>
      <c r="M17" s="21">
        <v>0.86</v>
      </c>
      <c r="N17" s="21">
        <v>0.48</v>
      </c>
      <c r="O17" s="21">
        <f t="shared" si="1"/>
        <v>1.3599999999999999</v>
      </c>
      <c r="P17">
        <f t="shared" si="2"/>
        <v>1.3599999999999999</v>
      </c>
      <c r="Q17" s="11"/>
      <c r="R17" s="61" t="s">
        <v>33</v>
      </c>
      <c r="S17" s="62">
        <f>ROUND(C17*框選統計!$L$8,0)</f>
        <v>0</v>
      </c>
      <c r="T17" s="62">
        <f>ROUND(D17*框選統計!$L$9,0)</f>
        <v>0</v>
      </c>
      <c r="U17" s="21">
        <f>ROUND(E17*框選統計!$L$10,0)</f>
        <v>0</v>
      </c>
      <c r="V17" s="21">
        <f>ROUND(F17*框選統計!$L$11,0)</f>
        <v>0</v>
      </c>
      <c r="W17" s="21">
        <f>ROUND(G17*框選統計!$L$12,0)</f>
        <v>0</v>
      </c>
      <c r="X17" s="21">
        <f>ROUND(H17*框選統計!$L$13,0)</f>
        <v>0</v>
      </c>
      <c r="Y17" s="21">
        <f>ROUND(I17*框選統計!$L$14,0)</f>
        <v>0</v>
      </c>
      <c r="Z17" s="21">
        <f>ROUND(J17*框選統計!$L$15,0)</f>
        <v>0</v>
      </c>
      <c r="AA17" s="21">
        <f>ROUND(K17*框選統計!$L$16,0)</f>
        <v>0</v>
      </c>
      <c r="AB17" s="21">
        <f>ROUND(L17*框選統計!$L$17,0)</f>
        <v>9</v>
      </c>
      <c r="AC17" s="54">
        <f>ROUND(M17*框選統計!$L$18,0)</f>
        <v>1182</v>
      </c>
      <c r="AD17" s="21">
        <f>ROUND(N17*框選統計!$L18,0)</f>
        <v>660</v>
      </c>
      <c r="AE17" s="21">
        <f t="shared" si="3"/>
        <v>1851</v>
      </c>
      <c r="AF17">
        <f t="shared" si="0"/>
        <v>1851</v>
      </c>
    </row>
    <row r="18" spans="1:32" ht="20.25" thickBot="1" x14ac:dyDescent="0.3">
      <c r="B18" s="19" t="s">
        <v>10</v>
      </c>
      <c r="C18" s="21">
        <v>0.11</v>
      </c>
      <c r="D18" s="21">
        <v>0.08</v>
      </c>
      <c r="E18" s="21">
        <v>0.06</v>
      </c>
      <c r="F18" s="21">
        <v>0.32</v>
      </c>
      <c r="G18" s="21">
        <v>0.05</v>
      </c>
      <c r="H18" s="21">
        <v>0.06</v>
      </c>
      <c r="I18" s="21">
        <v>0.16</v>
      </c>
      <c r="J18" s="21">
        <v>0</v>
      </c>
      <c r="K18" s="21">
        <v>0.03</v>
      </c>
      <c r="L18" s="21">
        <v>0.12</v>
      </c>
      <c r="M18" s="21">
        <v>0.14000000000000001</v>
      </c>
      <c r="N18" s="21">
        <v>0</v>
      </c>
      <c r="O18" s="21">
        <f t="shared" si="1"/>
        <v>1.1300000000000003</v>
      </c>
      <c r="P18">
        <f>SUM($C18:$N18)</f>
        <v>1.1300000000000003</v>
      </c>
      <c r="Q18" s="11"/>
      <c r="R18" s="19" t="s">
        <v>10</v>
      </c>
      <c r="S18" s="21">
        <f>ROUND(C18*框選統計!$L$8,0)</f>
        <v>51</v>
      </c>
      <c r="T18" s="21">
        <f>ROUND(D18*框選統計!$L$9,0)</f>
        <v>6</v>
      </c>
      <c r="U18" s="21">
        <f>ROUND(E18*框選統計!$L$10,0)</f>
        <v>7</v>
      </c>
      <c r="V18" s="21">
        <f>ROUND(F18*框選統計!$L$11,0)</f>
        <v>6</v>
      </c>
      <c r="W18" s="21">
        <f>ROUND(G18*框選統計!$L$12,0)</f>
        <v>20</v>
      </c>
      <c r="X18" s="21">
        <f>ROUND(H18*框選統計!$L$13,0)</f>
        <v>6</v>
      </c>
      <c r="Y18" s="21">
        <f>ROUND(I18*框選統計!$L$14,0)</f>
        <v>73</v>
      </c>
      <c r="Z18" s="21">
        <f>ROUND(J18*框選統計!$L$15,0)</f>
        <v>0</v>
      </c>
      <c r="AA18" s="21">
        <f>ROUND(K18*框選統計!$L$16,0)</f>
        <v>6</v>
      </c>
      <c r="AB18" s="21">
        <f>ROUND(L18*框選統計!$L$17,0)</f>
        <v>51</v>
      </c>
      <c r="AC18" s="21">
        <f>ROUND(M18*框選統計!$L$18,0)</f>
        <v>192</v>
      </c>
      <c r="AD18" s="21">
        <f>ROUND(N18*框選統計!$L19,0)</f>
        <v>0</v>
      </c>
      <c r="AE18" s="21">
        <f t="shared" si="3"/>
        <v>418</v>
      </c>
      <c r="AF18">
        <f t="shared" si="0"/>
        <v>418</v>
      </c>
    </row>
    <row r="19" spans="1:32" ht="20.25" thickBot="1" x14ac:dyDescent="0.3">
      <c r="B19" s="19" t="s">
        <v>12</v>
      </c>
      <c r="C19" s="21">
        <f>C$20</f>
        <v>1</v>
      </c>
      <c r="D19" s="21">
        <f t="shared" ref="D19:N19" si="4">D$20</f>
        <v>1</v>
      </c>
      <c r="E19" s="21">
        <f t="shared" si="4"/>
        <v>1</v>
      </c>
      <c r="F19" s="21">
        <f t="shared" si="4"/>
        <v>1</v>
      </c>
      <c r="G19" s="21">
        <f t="shared" si="4"/>
        <v>1</v>
      </c>
      <c r="H19" s="21">
        <f t="shared" si="4"/>
        <v>1</v>
      </c>
      <c r="I19" s="21">
        <f t="shared" si="4"/>
        <v>1</v>
      </c>
      <c r="J19" s="21">
        <f t="shared" si="4"/>
        <v>1</v>
      </c>
      <c r="K19" s="21">
        <f t="shared" si="4"/>
        <v>1</v>
      </c>
      <c r="L19" s="21">
        <f t="shared" si="4"/>
        <v>1</v>
      </c>
      <c r="M19" s="21">
        <f t="shared" si="4"/>
        <v>1</v>
      </c>
      <c r="N19" s="21">
        <f t="shared" si="4"/>
        <v>1.01</v>
      </c>
      <c r="O19" s="21"/>
      <c r="P19">
        <f>SUM(P7:P18)</f>
        <v>12.01</v>
      </c>
      <c r="Q19" s="11"/>
      <c r="R19" s="19" t="s">
        <v>12</v>
      </c>
      <c r="S19" s="21">
        <f>S$20</f>
        <v>461</v>
      </c>
      <c r="T19" s="21">
        <f t="shared" ref="T19:AD19" si="5">T$20</f>
        <v>73</v>
      </c>
      <c r="U19" s="21">
        <f t="shared" si="5"/>
        <v>121</v>
      </c>
      <c r="V19" s="21">
        <f t="shared" si="5"/>
        <v>19</v>
      </c>
      <c r="W19" s="21">
        <f t="shared" si="5"/>
        <v>395</v>
      </c>
      <c r="X19" s="21">
        <f t="shared" si="5"/>
        <v>99</v>
      </c>
      <c r="Y19" s="21">
        <f t="shared" si="5"/>
        <v>458</v>
      </c>
      <c r="Z19" s="21">
        <f t="shared" si="5"/>
        <v>16</v>
      </c>
      <c r="AA19" s="21">
        <f t="shared" si="5"/>
        <v>215</v>
      </c>
      <c r="AB19" s="21">
        <f t="shared" si="5"/>
        <v>427</v>
      </c>
      <c r="AC19" s="21">
        <f t="shared" si="5"/>
        <v>1374</v>
      </c>
      <c r="AD19" s="21">
        <f t="shared" si="5"/>
        <v>859</v>
      </c>
      <c r="AE19" s="21">
        <f>IF(AE20=AF19,AE20,"no")</f>
        <v>4517</v>
      </c>
      <c r="AF19">
        <f>SUM(AF7:AF18)</f>
        <v>4517</v>
      </c>
    </row>
    <row r="20" spans="1:32" x14ac:dyDescent="0.25">
      <c r="C20">
        <f>SUM(C$7:C$18)</f>
        <v>1</v>
      </c>
      <c r="D20">
        <f t="shared" ref="D20:M20" si="6">SUM(D$7:D$18)</f>
        <v>1</v>
      </c>
      <c r="E20">
        <f t="shared" si="6"/>
        <v>1</v>
      </c>
      <c r="F20">
        <f t="shared" si="6"/>
        <v>1</v>
      </c>
      <c r="G20">
        <f t="shared" si="6"/>
        <v>1</v>
      </c>
      <c r="H20">
        <f t="shared" si="6"/>
        <v>1</v>
      </c>
      <c r="I20">
        <f t="shared" si="6"/>
        <v>1</v>
      </c>
      <c r="J20">
        <f t="shared" si="6"/>
        <v>1</v>
      </c>
      <c r="K20">
        <f t="shared" si="6"/>
        <v>1</v>
      </c>
      <c r="L20">
        <f t="shared" si="6"/>
        <v>1</v>
      </c>
      <c r="M20">
        <f t="shared" si="6"/>
        <v>1</v>
      </c>
      <c r="N20">
        <f>SUM(N$7:N$18)</f>
        <v>1.01</v>
      </c>
      <c r="O20">
        <f>SUM(C20:N20)</f>
        <v>12.01</v>
      </c>
      <c r="Q20" s="11"/>
      <c r="S20">
        <f>SUM(S$7:S$18)</f>
        <v>461</v>
      </c>
      <c r="T20">
        <f t="shared" ref="T20:AD20" si="7">SUM(T$7:T$18)</f>
        <v>73</v>
      </c>
      <c r="U20">
        <f t="shared" si="7"/>
        <v>121</v>
      </c>
      <c r="V20">
        <f t="shared" si="7"/>
        <v>19</v>
      </c>
      <c r="W20">
        <f t="shared" si="7"/>
        <v>395</v>
      </c>
      <c r="X20">
        <f t="shared" si="7"/>
        <v>99</v>
      </c>
      <c r="Y20">
        <f t="shared" si="7"/>
        <v>458</v>
      </c>
      <c r="Z20">
        <f t="shared" si="7"/>
        <v>16</v>
      </c>
      <c r="AA20">
        <f t="shared" si="7"/>
        <v>215</v>
      </c>
      <c r="AB20">
        <f t="shared" si="7"/>
        <v>427</v>
      </c>
      <c r="AC20">
        <f t="shared" si="7"/>
        <v>1374</v>
      </c>
      <c r="AD20">
        <f t="shared" si="7"/>
        <v>859</v>
      </c>
      <c r="AE20">
        <f>SUM(S20:AD20)</f>
        <v>4517</v>
      </c>
    </row>
    <row r="21" spans="1:32" x14ac:dyDescent="0.25">
      <c r="J21"/>
      <c r="K21"/>
      <c r="L21"/>
      <c r="AE21">
        <f>SUM(S20:AC20)</f>
        <v>3658</v>
      </c>
    </row>
    <row r="22" spans="1:32" ht="17.25" thickBot="1" x14ac:dyDescent="0.3">
      <c r="J22"/>
      <c r="K22"/>
      <c r="L22"/>
      <c r="AD22" s="65" t="s">
        <v>54</v>
      </c>
    </row>
    <row r="23" spans="1:32" s="11" customFormat="1" ht="20.25" thickBot="1" x14ac:dyDescent="0.3">
      <c r="B23" s="106" t="s">
        <v>42</v>
      </c>
      <c r="C23" s="107"/>
      <c r="D23" s="14" t="s">
        <v>1</v>
      </c>
      <c r="E23" s="15" t="s">
        <v>2</v>
      </c>
      <c r="F23" s="16" t="s">
        <v>3</v>
      </c>
      <c r="G23" s="17" t="s">
        <v>14</v>
      </c>
      <c r="H23" s="18" t="s">
        <v>4</v>
      </c>
      <c r="I23" s="47" t="s">
        <v>5</v>
      </c>
      <c r="J23" s="95" t="s">
        <v>19</v>
      </c>
      <c r="R23" s="43" t="s">
        <v>19</v>
      </c>
      <c r="S23" s="92">
        <f>((T8+U9+V10+W11+X12+Y13+Z14+AA15+AB16+AC17)/(T19+U19+V19+W19+X19+Y19+Z19+AA19+AB19+AC19))</f>
        <v>0.87988739443228026</v>
      </c>
      <c r="T23" s="92">
        <f>((S7+U9+V10+W11+X12+Y13+Z14+AA15+AB16+AC17)/(S19+U19+V19+W19+X19+Y19+Z19+AA19+AB19+AC19))</f>
        <v>0.88033472803347279</v>
      </c>
      <c r="U23" s="92">
        <f>((T8+S7+V10+W11+X12+Y13+Z14+AA15+AB16+AC17)/(T19+S19+V19+W19+X19+Y19+Z19+AA19+AB19+AC19))</f>
        <v>0.87927622278767315</v>
      </c>
      <c r="V23" s="92">
        <f>((T8+U9+S7+W11+X12+Y13+Z14+AA15+AB16+AC17)/(T19+U19+S19+W19+X19+Y19+Z19+AA19+AB19+AC19))</f>
        <v>0.88266007144820002</v>
      </c>
      <c r="W23" s="92">
        <f>((T8+U9+V10+S7+X12+Y13+Z14+AA15+AB16+AC17)/(T19+U19+V19+S19+X19+Y19+Z19+AA19+AB19+AC19))</f>
        <v>0.87404229236898556</v>
      </c>
      <c r="X23" s="92">
        <f>((T8+U9+V10+W11+S7+Y13+Z14+AA15+AB16+AC17)/(T19+U19+V19+W19+S19+Y19+Z19+AA19+AB19+AC19))</f>
        <v>0.8797415004214667</v>
      </c>
      <c r="Y23" s="92">
        <f>((T8+U9+V10+W11+X12+S7+Z14+AA15+AB16+AC17)/(T19+U19+V19+W19+X19+S19+Z19+AA19+AB19+AC19))</f>
        <v>0.88687499999999997</v>
      </c>
      <c r="Z23" s="92">
        <f>((T8+U9+V10+W11+X12+Y13+S7+AA15+AB16+AC17)/(T19+U19+V19+W19+X19+Y19+S19+AA19+AB19+AC19))</f>
        <v>0.88056013179571668</v>
      </c>
      <c r="AA23" s="92">
        <f>((T8+U9+V10+W11+X12+Y13+Z14+S7+AB16+AC17)/(T19+U19+V19+W19+X19+Y19+Z19+S19+AB19+AC19))</f>
        <v>0.87539936102236426</v>
      </c>
      <c r="AB23" s="92">
        <f>((T8+U9+V10+W11+X12+Y13+Z14+AA15+S7+AC17)/(T19+U19+V19+W19+X19+Y19+Z19+AA19+S19+AC19))</f>
        <v>0.8839368616527391</v>
      </c>
      <c r="AC23" s="92">
        <f>((T8+U9+V10+W11+X12+Y13+Z14+AA15+AB16+S7)/(T19+U19+V19+W19+X19+Y19+Z19+AA19+AB19+S19))</f>
        <v>0.89360770577933446</v>
      </c>
    </row>
    <row r="24" spans="1:32" ht="19.5" thickBot="1" x14ac:dyDescent="0.3">
      <c r="B24" s="117" t="s">
        <v>57</v>
      </c>
      <c r="C24" s="52" t="s">
        <v>6</v>
      </c>
      <c r="D24" s="8">
        <f xml:space="preserve"> ROUND(S$29,2)</f>
        <v>0.86</v>
      </c>
      <c r="E24" s="8">
        <f xml:space="preserve"> ROUND($S$24, 2)</f>
        <v>0.89</v>
      </c>
      <c r="F24" s="8">
        <f xml:space="preserve"> ROUND($S$25, 2)</f>
        <v>0.89</v>
      </c>
      <c r="G24" s="8">
        <f xml:space="preserve"> ROUND($S$27, 2)</f>
        <v>0.89</v>
      </c>
      <c r="H24" s="108">
        <f xml:space="preserve"> ROUND($S$26, 2)</f>
        <v>0.88</v>
      </c>
      <c r="I24" s="111">
        <f xml:space="preserve"> ROUND($S$28, 2)</f>
        <v>0.84</v>
      </c>
      <c r="J24" s="90">
        <f xml:space="preserve"> ROUND(S23, 2)</f>
        <v>0.88</v>
      </c>
      <c r="K24"/>
      <c r="L24"/>
      <c r="M24" s="11" t="s">
        <v>16</v>
      </c>
      <c r="N24" s="11" t="s">
        <v>15</v>
      </c>
      <c r="O24" s="11" t="s">
        <v>17</v>
      </c>
      <c r="R24" s="10" t="s">
        <v>2</v>
      </c>
      <c r="S24">
        <f>(S7/S$19)</f>
        <v>0.88937093275488066</v>
      </c>
      <c r="T24">
        <f>(T8/T$19)</f>
        <v>0.9178082191780822</v>
      </c>
      <c r="U24">
        <f>(U9/U$19)</f>
        <v>0.93388429752066116</v>
      </c>
      <c r="V24">
        <f>(V10/V$19)</f>
        <v>0.57894736842105265</v>
      </c>
      <c r="W24">
        <f>(W11/W$19)</f>
        <v>0.93924050632911393</v>
      </c>
      <c r="X24">
        <f>(X12/X$19)</f>
        <v>0.92929292929292928</v>
      </c>
      <c r="Y24">
        <f>(Y13/Y$19)</f>
        <v>0.84061135371179041</v>
      </c>
      <c r="Z24">
        <f>(Z14/Z$19)</f>
        <v>1</v>
      </c>
      <c r="AA24">
        <f>(AA15/AA$19)</f>
        <v>0.97209302325581393</v>
      </c>
      <c r="AB24">
        <f>(AB16/AB$19)</f>
        <v>0.85948477751756436</v>
      </c>
      <c r="AC24">
        <f>(AC17/AC$19)</f>
        <v>0.86026200873362446</v>
      </c>
      <c r="AD24">
        <f>((V10+W11+X12+Y13+Z14+AA15+AB16+AC17)/(V19+W19+X19+Y19+Z19+AA19+AB19+AC19))</f>
        <v>0.87678987678987674</v>
      </c>
    </row>
    <row r="25" spans="1:32" ht="19.5" thickBot="1" x14ac:dyDescent="0.3">
      <c r="B25" s="118"/>
      <c r="C25" s="64" t="s">
        <v>24</v>
      </c>
      <c r="D25" s="8">
        <f xml:space="preserve"> ROUND(T$29,2)</f>
        <v>0.9</v>
      </c>
      <c r="E25" s="8">
        <f xml:space="preserve"> ROUND($T$24, 2)</f>
        <v>0.92</v>
      </c>
      <c r="F25" s="8">
        <f xml:space="preserve"> ROUND($T$25, 2)</f>
        <v>0.99</v>
      </c>
      <c r="G25" s="8">
        <f xml:space="preserve"> ROUND($T$27, 2)</f>
        <v>0.95</v>
      </c>
      <c r="H25" s="109"/>
      <c r="I25" s="112"/>
      <c r="J25" s="90">
        <f xml:space="preserve"> ROUND(T23, 2)</f>
        <v>0.88</v>
      </c>
      <c r="K25"/>
      <c r="L25"/>
      <c r="M25" s="11">
        <f>(($O$25-$N$25)/(1-$N$25))</f>
        <v>0.84075788245607097</v>
      </c>
      <c r="N25">
        <f>(($S$19*$AE$7+$T$19*$AE$8+$U$19*$AE$9+$V$19*$AE$10+$W$19*$AE$11+$X$19*$AE$12+$Y$19*$AE$13+$Z$19*$AE$14+$AA$19*$AE$15+$AB$19*$AE$16+$AC$19*$AE$17)/(框選統計!L19*框選統計!L19))</f>
        <v>0.25171655718908198</v>
      </c>
      <c r="O25">
        <f>(($S$7+$T$8+$U$9+$V$10+$W$11+$X$12+$Y$13+$Z$14+$AA$15+$AB$16+$AC$17)/(框選統計!L19))</f>
        <v>0.88084176004372783</v>
      </c>
      <c r="R25" s="10" t="s">
        <v>3</v>
      </c>
      <c r="S25">
        <f>(S7/$AE7)</f>
        <v>0.88744588744588748</v>
      </c>
      <c r="T25">
        <f>(T8/$AE8)</f>
        <v>0.98529411764705888</v>
      </c>
      <c r="U25">
        <f>(U9/$AE9)</f>
        <v>0.94166666666666665</v>
      </c>
      <c r="V25">
        <f>(V10/$AE10)</f>
        <v>1</v>
      </c>
      <c r="W25">
        <f>(W11/$AE11)</f>
        <v>0.96614583333333337</v>
      </c>
      <c r="X25">
        <f>(X12/$AE12)</f>
        <v>0.94845360824742264</v>
      </c>
      <c r="Y25">
        <f>(Y13/$AE13)</f>
        <v>0.84061135371179041</v>
      </c>
      <c r="Z25">
        <f>(Z14/$AE14)</f>
        <v>1</v>
      </c>
      <c r="AA25">
        <f>(AA15/$AE15)</f>
        <v>0.94144144144144148</v>
      </c>
      <c r="AB25">
        <f>(AB16/$AE16)</f>
        <v>0.89512195121951221</v>
      </c>
      <c r="AC25">
        <f>(AC17/$AE17)</f>
        <v>0.63857374392220423</v>
      </c>
      <c r="AD25">
        <f>((V10+W11+X12+Y13+Z14+AA15+AB16+AC17)/(AE10+AE11+AE12+AE13+AE14+AE15+AE16+AE17))</f>
        <v>0.7634096839663671</v>
      </c>
    </row>
    <row r="26" spans="1:32" ht="20.25" thickBot="1" x14ac:dyDescent="0.3">
      <c r="B26" s="118"/>
      <c r="C26" s="4" t="s">
        <v>25</v>
      </c>
      <c r="D26" s="8">
        <f xml:space="preserve"> ROUND(U$29,2)</f>
        <v>0.93</v>
      </c>
      <c r="E26" s="8">
        <f xml:space="preserve"> ROUND($U$24, 2)</f>
        <v>0.93</v>
      </c>
      <c r="F26" s="8">
        <f xml:space="preserve"> ROUND($U$25, 2)</f>
        <v>0.94</v>
      </c>
      <c r="G26" s="8">
        <f xml:space="preserve"> ROUND($U$27, 2)</f>
        <v>0.94</v>
      </c>
      <c r="H26" s="109"/>
      <c r="I26" s="112"/>
      <c r="J26" s="90">
        <f xml:space="preserve"> ROUND(U23, 2)</f>
        <v>0.88</v>
      </c>
      <c r="K26"/>
      <c r="L26"/>
      <c r="R26" s="10" t="s">
        <v>13</v>
      </c>
      <c r="S26">
        <f>((S7+T8+U9+V10+W11+X12+Y13+Z14+AA15+AB16+AC17)/(框選統計!L19))</f>
        <v>0.88084176004372783</v>
      </c>
    </row>
    <row r="27" spans="1:32" ht="20.25" thickBot="1" x14ac:dyDescent="0.3">
      <c r="B27" s="118"/>
      <c r="C27" s="4" t="s">
        <v>26</v>
      </c>
      <c r="D27" s="8">
        <f xml:space="preserve"> ROUND(V$29,2)</f>
        <v>0.48</v>
      </c>
      <c r="E27" s="8">
        <f xml:space="preserve"> ROUND($V$24, 2)</f>
        <v>0.57999999999999996</v>
      </c>
      <c r="F27" s="8">
        <f xml:space="preserve"> ROUND($V$25, 2)</f>
        <v>1</v>
      </c>
      <c r="G27" s="8">
        <f xml:space="preserve"> ROUND($V$27, 2)</f>
        <v>0.73</v>
      </c>
      <c r="H27" s="109"/>
      <c r="I27" s="112"/>
      <c r="J27" s="90">
        <f xml:space="preserve"> ROUND(V23, 2)</f>
        <v>0.88</v>
      </c>
      <c r="K27"/>
      <c r="L27"/>
      <c r="R27" s="10" t="s">
        <v>14</v>
      </c>
      <c r="S27">
        <f>(2/(1/S25+1/S24))</f>
        <v>0.88840736728060676</v>
      </c>
      <c r="T27">
        <f t="shared" ref="T27:AC27" si="8">(2/(1/T25+1/T24))</f>
        <v>0.95035460992907794</v>
      </c>
      <c r="U27">
        <f t="shared" si="8"/>
        <v>0.93775933609958506</v>
      </c>
      <c r="V27">
        <f t="shared" si="8"/>
        <v>0.73333333333333328</v>
      </c>
      <c r="W27">
        <f t="shared" si="8"/>
        <v>0.95250320924261866</v>
      </c>
      <c r="X27">
        <f t="shared" si="8"/>
        <v>0.93877551020408156</v>
      </c>
      <c r="Y27">
        <f t="shared" si="8"/>
        <v>0.84061135371179041</v>
      </c>
      <c r="Z27">
        <f t="shared" si="8"/>
        <v>1</v>
      </c>
      <c r="AA27">
        <f t="shared" si="8"/>
        <v>0.95652173913043481</v>
      </c>
      <c r="AB27">
        <f t="shared" si="8"/>
        <v>0.8769414575866189</v>
      </c>
      <c r="AC27">
        <f t="shared" si="8"/>
        <v>0.73302325581395356</v>
      </c>
      <c r="AD27">
        <f>(2/(1/AD25+1/AD24))</f>
        <v>0.81618102913825175</v>
      </c>
    </row>
    <row r="28" spans="1:32" ht="20.25" thickBot="1" x14ac:dyDescent="0.3">
      <c r="B28" s="118"/>
      <c r="C28" s="4" t="s">
        <v>27</v>
      </c>
      <c r="D28" s="8">
        <f xml:space="preserve"> ROUND(W$29,2)</f>
        <v>0.95</v>
      </c>
      <c r="E28" s="8">
        <f xml:space="preserve"> ROUND($W$24, 2)</f>
        <v>0.94</v>
      </c>
      <c r="F28" s="8">
        <f xml:space="preserve"> ROUND($W$25, 2)</f>
        <v>0.97</v>
      </c>
      <c r="G28" s="8">
        <f xml:space="preserve"> ROUND($W$27, 2)</f>
        <v>0.95</v>
      </c>
      <c r="H28" s="109"/>
      <c r="I28" s="112"/>
      <c r="J28" s="90">
        <f xml:space="preserve"> ROUND(W23, 2)</f>
        <v>0.87</v>
      </c>
      <c r="K28"/>
      <c r="L28"/>
      <c r="R28" s="10" t="s">
        <v>5</v>
      </c>
      <c r="S28">
        <f>$M$25</f>
        <v>0.84075788245607097</v>
      </c>
    </row>
    <row r="29" spans="1:32" ht="20.25" thickBot="1" x14ac:dyDescent="0.3">
      <c r="B29" s="118"/>
      <c r="C29" s="4" t="s">
        <v>28</v>
      </c>
      <c r="D29" s="8">
        <f xml:space="preserve"> ROUND(X$29,2)</f>
        <v>0.96</v>
      </c>
      <c r="E29" s="8">
        <f xml:space="preserve"> ROUND($X$24, 2)</f>
        <v>0.93</v>
      </c>
      <c r="F29" s="8">
        <f xml:space="preserve"> ROUND($X$25, 2)</f>
        <v>0.95</v>
      </c>
      <c r="G29" s="8">
        <f xml:space="preserve"> ROUND($X$27, 2)</f>
        <v>0.94</v>
      </c>
      <c r="H29" s="109"/>
      <c r="I29" s="112"/>
      <c r="J29" s="90">
        <f xml:space="preserve"> ROUND(X23, 2)</f>
        <v>0.88</v>
      </c>
      <c r="R29" s="10" t="s">
        <v>1</v>
      </c>
      <c r="S29">
        <v>0.85799999999999998</v>
      </c>
      <c r="T29">
        <v>0.90100000000000002</v>
      </c>
      <c r="U29">
        <v>0.93</v>
      </c>
      <c r="V29">
        <v>0.48299999999999998</v>
      </c>
      <c r="W29">
        <v>0.94599999999999995</v>
      </c>
      <c r="X29">
        <v>0.96199999999999997</v>
      </c>
      <c r="Y29">
        <v>0.81599999999999995</v>
      </c>
      <c r="Z29">
        <v>0.995</v>
      </c>
      <c r="AA29">
        <v>0.97099999999999997</v>
      </c>
      <c r="AB29">
        <v>0.85499999999999998</v>
      </c>
      <c r="AC29">
        <v>0.83799999999999997</v>
      </c>
    </row>
    <row r="30" spans="1:32" ht="20.25" thickBot="1" x14ac:dyDescent="0.3">
      <c r="A30" s="6"/>
      <c r="B30" s="118"/>
      <c r="C30" s="4" t="s">
        <v>29</v>
      </c>
      <c r="D30" s="8">
        <f xml:space="preserve"> ROUND(Y$29,2)</f>
        <v>0.82</v>
      </c>
      <c r="E30" s="8">
        <f xml:space="preserve"> ROUND($Y$24, 2)</f>
        <v>0.84</v>
      </c>
      <c r="F30" s="8">
        <f xml:space="preserve"> ROUND($Y$25, 2)</f>
        <v>0.84</v>
      </c>
      <c r="G30" s="8">
        <f xml:space="preserve"> ROUND($Y$27, 2)</f>
        <v>0.84</v>
      </c>
      <c r="H30" s="109"/>
      <c r="I30" s="112"/>
      <c r="J30" s="90">
        <f xml:space="preserve"> ROUND(Y23, 2)</f>
        <v>0.89</v>
      </c>
      <c r="K30" s="6"/>
      <c r="L30" s="12"/>
      <c r="M30" s="46"/>
      <c r="N30" s="46"/>
      <c r="O30" s="6"/>
      <c r="P30" s="6"/>
      <c r="Q30" s="6"/>
      <c r="R30" s="6"/>
      <c r="S30" s="6"/>
      <c r="T30" s="6"/>
    </row>
    <row r="31" spans="1:32" ht="20.25" thickBot="1" x14ac:dyDescent="0.3">
      <c r="A31" s="6"/>
      <c r="B31" s="118"/>
      <c r="C31" s="49" t="s">
        <v>30</v>
      </c>
      <c r="D31" s="8">
        <f xml:space="preserve"> ROUND(Z$29,2)</f>
        <v>1</v>
      </c>
      <c r="E31" s="8">
        <f xml:space="preserve"> ROUND($Z$24, 2)</f>
        <v>1</v>
      </c>
      <c r="F31" s="8">
        <f xml:space="preserve"> ROUND($Z$25, 2)</f>
        <v>1</v>
      </c>
      <c r="G31" s="8">
        <f xml:space="preserve"> ROUND($Z$27, 2)</f>
        <v>1</v>
      </c>
      <c r="H31" s="109"/>
      <c r="I31" s="112"/>
      <c r="J31" s="90">
        <f xml:space="preserve"> ROUND(Z23, 2)</f>
        <v>0.88</v>
      </c>
      <c r="K31" s="13"/>
      <c r="L31" s="13"/>
      <c r="M31" s="6"/>
      <c r="N31" s="6"/>
      <c r="O31" s="13"/>
      <c r="P31" s="13"/>
      <c r="Q31" s="13"/>
      <c r="R31" s="13"/>
      <c r="S31" s="42"/>
      <c r="T31" s="42"/>
    </row>
    <row r="32" spans="1:32" ht="20.25" thickBot="1" x14ac:dyDescent="0.3">
      <c r="A32" s="6"/>
      <c r="B32" s="118"/>
      <c r="C32" s="49" t="s">
        <v>31</v>
      </c>
      <c r="D32" s="8">
        <f xml:space="preserve"> ROUND(AA$29,2)</f>
        <v>0.97</v>
      </c>
      <c r="E32" s="8">
        <f xml:space="preserve"> ROUND($AA$24, 2)</f>
        <v>0.97</v>
      </c>
      <c r="F32" s="8">
        <f xml:space="preserve"> ROUND($AA$25, 2)</f>
        <v>0.94</v>
      </c>
      <c r="G32" s="8">
        <f xml:space="preserve"> ROUND($AA$27, 2)</f>
        <v>0.96</v>
      </c>
      <c r="H32" s="109"/>
      <c r="I32" s="112"/>
      <c r="J32" s="90">
        <f xml:space="preserve"> ROUND(AA23, 2)</f>
        <v>0.88</v>
      </c>
      <c r="K32" s="27"/>
      <c r="L32" s="13"/>
      <c r="M32" s="6"/>
      <c r="N32" s="6"/>
      <c r="O32" s="13"/>
      <c r="P32" s="13"/>
      <c r="Q32" s="13"/>
      <c r="R32" s="13"/>
      <c r="S32" s="42"/>
      <c r="T32" s="42"/>
      <c r="U32" s="11"/>
      <c r="V32" s="11"/>
      <c r="W32" s="11"/>
    </row>
    <row r="33" spans="1:21" ht="20.25" thickBot="1" x14ac:dyDescent="0.3">
      <c r="A33" s="6"/>
      <c r="B33" s="118"/>
      <c r="C33" s="49" t="s">
        <v>32</v>
      </c>
      <c r="D33" s="8">
        <f xml:space="preserve"> ROUND(AB$29,2)</f>
        <v>0.86</v>
      </c>
      <c r="E33" s="8">
        <f xml:space="preserve"> ROUND($AB$24, 2)</f>
        <v>0.86</v>
      </c>
      <c r="F33" s="8">
        <f xml:space="preserve"> ROUND($AB$25, 2)</f>
        <v>0.9</v>
      </c>
      <c r="G33" s="8">
        <f xml:space="preserve"> ROUND($AB$27, 2)</f>
        <v>0.88</v>
      </c>
      <c r="H33" s="109"/>
      <c r="I33" s="112"/>
      <c r="J33" s="90">
        <f xml:space="preserve"> ROUND(AB23, 2)</f>
        <v>0.88</v>
      </c>
      <c r="K33" s="6"/>
      <c r="L33" s="13"/>
      <c r="M33" s="6"/>
      <c r="N33" s="6"/>
      <c r="O33" s="13"/>
      <c r="P33" s="13"/>
      <c r="Q33" s="13"/>
      <c r="R33" s="13"/>
      <c r="S33" s="42"/>
      <c r="T33" s="42"/>
      <c r="U33" s="11"/>
    </row>
    <row r="34" spans="1:21" ht="20.25" thickBot="1" x14ac:dyDescent="0.3">
      <c r="A34" s="6"/>
      <c r="B34" s="118"/>
      <c r="C34" s="49" t="s">
        <v>33</v>
      </c>
      <c r="D34" s="8">
        <f xml:space="preserve"> ROUND(AC$29,2)</f>
        <v>0.84</v>
      </c>
      <c r="E34" s="8">
        <f xml:space="preserve"> ROUND($AC$24, 2)</f>
        <v>0.86</v>
      </c>
      <c r="F34" s="8">
        <f xml:space="preserve"> ROUND($AC$25, 2)</f>
        <v>0.64</v>
      </c>
      <c r="G34" s="8">
        <f xml:space="preserve"> ROUND($AC$27, 2)</f>
        <v>0.73</v>
      </c>
      <c r="H34" s="109"/>
      <c r="I34" s="112"/>
      <c r="J34" s="90">
        <f xml:space="preserve"> ROUND(AC23, 2)</f>
        <v>0.89</v>
      </c>
      <c r="K34" s="27"/>
      <c r="L34" s="13"/>
      <c r="M34" s="6"/>
      <c r="N34" s="6"/>
      <c r="O34" s="13"/>
      <c r="P34" s="13"/>
      <c r="Q34" s="13"/>
      <c r="R34" s="13"/>
      <c r="S34" s="42"/>
      <c r="T34" s="42"/>
    </row>
    <row r="35" spans="1:21" ht="19.5" thickBot="1" x14ac:dyDescent="0.3">
      <c r="A35" s="27"/>
      <c r="B35" s="119"/>
      <c r="C35" s="2" t="s">
        <v>18</v>
      </c>
      <c r="D35" s="9">
        <f xml:space="preserve"> ROUND($D$36, 2)</f>
        <v>0.87</v>
      </c>
      <c r="E35" s="9">
        <f xml:space="preserve"> ROUND($E$36, 2)</f>
        <v>0.88</v>
      </c>
      <c r="F35" s="9">
        <f xml:space="preserve"> ROUND($F$36, 2)</f>
        <v>0.91</v>
      </c>
      <c r="G35" s="9">
        <f xml:space="preserve"> ROUND($G$36, 2)</f>
        <v>0.89</v>
      </c>
      <c r="H35" s="110"/>
      <c r="I35" s="113"/>
      <c r="J35" s="91">
        <f xml:space="preserve"> ROUND(J36, 2)</f>
        <v>0.88</v>
      </c>
      <c r="K35" s="27"/>
      <c r="M35" s="27"/>
      <c r="N35" s="27"/>
      <c r="O35" s="27"/>
      <c r="P35" s="27"/>
      <c r="Q35" s="27"/>
      <c r="R35" s="27"/>
      <c r="S35" s="27"/>
      <c r="T35" s="27"/>
    </row>
    <row r="36" spans="1:21" x14ac:dyDescent="0.25">
      <c r="A36" s="27"/>
      <c r="B36" s="27"/>
      <c r="D36">
        <f>AVERAGE(D24:D34)</f>
        <v>0.87</v>
      </c>
      <c r="E36">
        <f>AVERAGE(E24:E34)</f>
        <v>0.88363636363636355</v>
      </c>
      <c r="F36">
        <f>AVERAGE(F24:F34)</f>
        <v>0.91454545454545455</v>
      </c>
      <c r="G36">
        <f>AVERAGE(G24:G34)</f>
        <v>0.89181818181818184</v>
      </c>
      <c r="H36" s="27"/>
      <c r="I36" s="27"/>
      <c r="J36" s="87">
        <f>AVERAGE(J24:J34)</f>
        <v>0.88090909090909086</v>
      </c>
      <c r="M36" s="27"/>
      <c r="N36" s="27"/>
      <c r="O36" s="27"/>
      <c r="P36" s="27"/>
      <c r="Q36" s="27"/>
      <c r="R36" s="27"/>
      <c r="S36" s="27"/>
      <c r="T36" s="27"/>
    </row>
    <row r="37" spans="1:21" ht="18.75" x14ac:dyDescent="0.25">
      <c r="A37" s="27"/>
      <c r="B37" s="42"/>
      <c r="H37" s="27"/>
      <c r="I37" s="27"/>
      <c r="J37" s="27"/>
      <c r="L37" s="27"/>
      <c r="M37" s="27"/>
      <c r="N37" s="42"/>
      <c r="O37" s="42"/>
      <c r="P37" s="42"/>
      <c r="Q37" s="42"/>
      <c r="R37" s="42"/>
      <c r="S37" s="42"/>
      <c r="T37" s="27"/>
      <c r="U37" s="27"/>
    </row>
    <row r="38" spans="1:21" ht="19.5" thickBot="1" x14ac:dyDescent="0.3">
      <c r="A38" s="27"/>
      <c r="B38" s="44"/>
      <c r="C38" s="6"/>
      <c r="D38" s="6"/>
      <c r="E38" s="6"/>
      <c r="F38" s="6"/>
      <c r="G38" s="6"/>
      <c r="H38" s="27"/>
      <c r="I38" s="27"/>
      <c r="J38" s="27"/>
      <c r="L38" s="27"/>
      <c r="M38" s="27"/>
      <c r="N38" s="44"/>
      <c r="O38" s="6"/>
      <c r="P38" s="6"/>
      <c r="Q38" s="6"/>
      <c r="R38" s="6"/>
      <c r="S38" s="6"/>
      <c r="T38" s="27"/>
      <c r="U38" s="27"/>
    </row>
    <row r="39" spans="1:21" ht="20.25" thickBot="1" x14ac:dyDescent="0.3">
      <c r="A39" s="27"/>
      <c r="B39" s="106" t="s">
        <v>42</v>
      </c>
      <c r="C39" s="107"/>
      <c r="D39" s="14" t="s">
        <v>1</v>
      </c>
      <c r="E39" s="15" t="s">
        <v>2</v>
      </c>
      <c r="F39" s="16" t="s">
        <v>3</v>
      </c>
      <c r="G39" s="17" t="s">
        <v>14</v>
      </c>
      <c r="H39" s="18" t="s">
        <v>4</v>
      </c>
      <c r="I39" s="47" t="s">
        <v>5</v>
      </c>
      <c r="J39" s="27"/>
      <c r="L39" s="27"/>
      <c r="M39" s="27"/>
      <c r="N39" s="6"/>
      <c r="O39" s="41"/>
      <c r="P39" s="41"/>
      <c r="Q39" s="41"/>
      <c r="R39" s="41"/>
      <c r="S39" s="41"/>
      <c r="T39" s="27"/>
      <c r="U39" s="27"/>
    </row>
    <row r="40" spans="1:21" ht="20.25" thickBot="1" x14ac:dyDescent="0.3">
      <c r="A40" s="27"/>
      <c r="B40" s="117" t="s">
        <v>57</v>
      </c>
      <c r="C40" s="50" t="s">
        <v>6</v>
      </c>
      <c r="D40" s="8">
        <f xml:space="preserve"> ROUND(S$29,2)</f>
        <v>0.86</v>
      </c>
      <c r="E40" s="8">
        <f xml:space="preserve"> ROUND($S$24, 2)</f>
        <v>0.89</v>
      </c>
      <c r="F40" s="8">
        <f xml:space="preserve"> ROUND($S$25, 2)</f>
        <v>0.89</v>
      </c>
      <c r="G40" s="8">
        <f xml:space="preserve"> ROUND($S$27, 2)</f>
        <v>0.89</v>
      </c>
      <c r="H40" s="111">
        <f xml:space="preserve"> ROUND($S$26, 2)</f>
        <v>0.88</v>
      </c>
      <c r="I40" s="111">
        <f xml:space="preserve"> ROUND($S$28, 2)</f>
        <v>0.84</v>
      </c>
      <c r="J40" s="27"/>
      <c r="L40" s="27"/>
      <c r="M40" s="27"/>
      <c r="N40" s="6"/>
      <c r="O40" s="41"/>
      <c r="P40" s="41"/>
      <c r="Q40" s="41"/>
      <c r="R40" s="41"/>
      <c r="S40" s="41"/>
      <c r="T40" s="27"/>
      <c r="U40" s="27"/>
    </row>
    <row r="41" spans="1:21" ht="20.25" thickBot="1" x14ac:dyDescent="0.3">
      <c r="A41" s="27"/>
      <c r="B41" s="118"/>
      <c r="C41" s="50" t="s">
        <v>24</v>
      </c>
      <c r="D41" s="8">
        <f xml:space="preserve"> ROUND(T$29,2)</f>
        <v>0.9</v>
      </c>
      <c r="E41" s="8">
        <f xml:space="preserve"> ROUND($T$24, 2)</f>
        <v>0.92</v>
      </c>
      <c r="F41" s="8">
        <f xml:space="preserve"> ROUND($T$25, 2)</f>
        <v>0.99</v>
      </c>
      <c r="G41" s="8">
        <f xml:space="preserve"> ROUND($T$27, 2)</f>
        <v>0.95</v>
      </c>
      <c r="H41" s="112"/>
      <c r="I41" s="112"/>
      <c r="J41" s="27"/>
      <c r="L41" s="27"/>
      <c r="M41" s="27"/>
      <c r="N41" s="6"/>
      <c r="O41" s="41"/>
      <c r="P41" s="41"/>
      <c r="Q41" s="41"/>
      <c r="R41" s="41"/>
      <c r="S41" s="41"/>
      <c r="T41" s="27"/>
      <c r="U41" s="27"/>
    </row>
    <row r="42" spans="1:21" ht="20.25" thickBot="1" x14ac:dyDescent="0.3">
      <c r="A42" s="27"/>
      <c r="B42" s="118"/>
      <c r="C42" s="4" t="s">
        <v>25</v>
      </c>
      <c r="D42" s="8">
        <f xml:space="preserve"> ROUND(U$29,2)</f>
        <v>0.93</v>
      </c>
      <c r="E42" s="8">
        <f xml:space="preserve"> ROUND($U$24, 2)</f>
        <v>0.93</v>
      </c>
      <c r="F42" s="8">
        <f xml:space="preserve"> ROUND($U$25, 2)</f>
        <v>0.94</v>
      </c>
      <c r="G42" s="8">
        <f xml:space="preserve"> ROUND($U$27, 2)</f>
        <v>0.94</v>
      </c>
      <c r="H42" s="112"/>
      <c r="I42" s="112"/>
      <c r="J42" s="27"/>
      <c r="L42" s="27"/>
      <c r="M42" s="27"/>
      <c r="N42" s="6"/>
      <c r="O42" s="41"/>
      <c r="P42" s="41"/>
      <c r="Q42" s="41"/>
      <c r="R42" s="41"/>
      <c r="S42" s="41"/>
      <c r="T42" s="27"/>
      <c r="U42" s="27"/>
    </row>
    <row r="43" spans="1:21" ht="20.25" thickBot="1" x14ac:dyDescent="0.3">
      <c r="A43" s="27"/>
      <c r="B43" s="118"/>
      <c r="C43" s="4" t="s">
        <v>55</v>
      </c>
      <c r="D43" s="8">
        <f xml:space="preserve"> ROUND(AVERAGE(V29:AC29),2)</f>
        <v>0.86</v>
      </c>
      <c r="E43" s="8">
        <f xml:space="preserve"> ROUND(AD24, 2)</f>
        <v>0.88</v>
      </c>
      <c r="F43" s="8">
        <f xml:space="preserve"> ROUND(AD25, 2)</f>
        <v>0.76</v>
      </c>
      <c r="G43" s="8">
        <f xml:space="preserve"> ROUND(AD27, 2)</f>
        <v>0.82</v>
      </c>
      <c r="H43" s="112"/>
      <c r="I43" s="112"/>
      <c r="J43" s="27"/>
      <c r="L43" s="27"/>
      <c r="M43" s="27"/>
      <c r="N43" s="6"/>
      <c r="O43" s="41"/>
      <c r="P43" s="41"/>
      <c r="Q43" s="41"/>
      <c r="R43" s="41"/>
      <c r="S43" s="41"/>
      <c r="T43" s="27"/>
      <c r="U43" s="27"/>
    </row>
    <row r="44" spans="1:21" ht="19.5" thickBot="1" x14ac:dyDescent="0.3">
      <c r="A44" s="27"/>
      <c r="B44" s="119"/>
      <c r="C44" s="2" t="s">
        <v>18</v>
      </c>
      <c r="D44" s="9">
        <f xml:space="preserve"> ROUND($D$36, 2)</f>
        <v>0.87</v>
      </c>
      <c r="E44" s="9">
        <f xml:space="preserve"> ROUND($E$36, 2)</f>
        <v>0.88</v>
      </c>
      <c r="F44" s="9">
        <f xml:space="preserve"> ROUND($F$36, 2)</f>
        <v>0.91</v>
      </c>
      <c r="G44" s="9">
        <f xml:space="preserve"> ROUND($G$36, 2)</f>
        <v>0.89</v>
      </c>
      <c r="H44" s="113"/>
      <c r="I44" s="113"/>
      <c r="J44" s="27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:21" s="11" customFormat="1" ht="18.75" x14ac:dyDescent="0.25">
      <c r="A45" s="27"/>
      <c r="B45" s="46"/>
      <c r="C45" s="26"/>
      <c r="D45" s="26">
        <f>AVERAGE(D40:D43)</f>
        <v>0.88749999999999996</v>
      </c>
      <c r="E45" s="26">
        <f>AVERAGE(E40:E43)</f>
        <v>0.90500000000000003</v>
      </c>
      <c r="F45" s="26">
        <f>AVERAGE(F40:F43)</f>
        <v>0.89500000000000002</v>
      </c>
      <c r="G45" s="26">
        <f>AVERAGE(G40:G43)</f>
        <v>0.89999999999999991</v>
      </c>
      <c r="H45" s="66"/>
      <c r="I45" s="66"/>
      <c r="J45" s="27"/>
      <c r="L45" s="27"/>
      <c r="M45" s="27"/>
      <c r="N45" s="45"/>
      <c r="O45" s="27"/>
      <c r="P45" s="27"/>
      <c r="Q45" s="27"/>
      <c r="R45" s="27"/>
      <c r="S45" s="27"/>
      <c r="T45" s="27"/>
      <c r="U45" s="27"/>
    </row>
    <row r="46" spans="1:21" ht="18.75" x14ac:dyDescent="0.25">
      <c r="A46" s="27"/>
      <c r="B46" s="45"/>
      <c r="C46" s="6"/>
      <c r="D46" s="6"/>
      <c r="E46" s="6"/>
      <c r="F46" s="6"/>
      <c r="G46" s="6"/>
      <c r="H46" s="27"/>
      <c r="I46" s="27"/>
      <c r="J46" s="27"/>
      <c r="L46" s="27"/>
      <c r="M46" s="27"/>
      <c r="N46" s="45"/>
      <c r="O46" s="27"/>
      <c r="P46" s="27"/>
      <c r="Q46" s="27"/>
      <c r="R46" s="27"/>
      <c r="S46" s="27"/>
      <c r="T46" s="27"/>
      <c r="U46" s="27"/>
    </row>
    <row r="47" spans="1:21" ht="19.5" x14ac:dyDescent="0.25">
      <c r="A47" s="27"/>
      <c r="B47" s="45"/>
      <c r="C47" s="41"/>
      <c r="D47" s="41"/>
      <c r="E47" s="41"/>
      <c r="F47" s="41"/>
      <c r="G47" s="41"/>
      <c r="H47" s="27"/>
      <c r="I47" s="27"/>
      <c r="J47" s="27"/>
      <c r="L47" s="27"/>
      <c r="M47" s="27"/>
      <c r="N47" s="45"/>
      <c r="O47" s="27"/>
      <c r="P47" s="27"/>
      <c r="Q47" s="27"/>
      <c r="R47" s="27"/>
      <c r="S47" s="27"/>
      <c r="T47" s="27"/>
      <c r="U47" s="27"/>
    </row>
    <row r="48" spans="1:21" ht="19.5" x14ac:dyDescent="0.25">
      <c r="A48" s="27"/>
      <c r="B48" s="45"/>
      <c r="C48" s="41"/>
      <c r="D48" s="41"/>
      <c r="E48" s="41"/>
      <c r="F48" s="41"/>
      <c r="G48" s="41"/>
      <c r="H48" s="27"/>
      <c r="I48" s="27"/>
      <c r="J48" s="27"/>
      <c r="L48" s="27"/>
      <c r="M48" s="27"/>
      <c r="N48" s="45"/>
      <c r="O48" s="27"/>
      <c r="P48" s="27"/>
      <c r="Q48" s="27"/>
      <c r="R48" s="27"/>
      <c r="S48" s="27"/>
      <c r="T48" s="27"/>
      <c r="U48" s="27"/>
    </row>
    <row r="49" spans="1:21" ht="19.5" x14ac:dyDescent="0.25">
      <c r="A49" s="27"/>
      <c r="B49" s="45"/>
      <c r="C49" s="41"/>
      <c r="D49" s="41"/>
      <c r="E49" s="41"/>
      <c r="F49" s="41"/>
      <c r="G49" s="41"/>
      <c r="H49" s="27"/>
      <c r="I49" s="27"/>
      <c r="J49" s="27"/>
      <c r="L49" s="27"/>
      <c r="M49" s="27"/>
      <c r="N49" s="45"/>
      <c r="O49" s="27"/>
      <c r="P49" s="27"/>
      <c r="Q49" s="27"/>
      <c r="R49" s="27"/>
      <c r="S49" s="27"/>
      <c r="T49" s="27"/>
      <c r="U49" s="27"/>
    </row>
    <row r="50" spans="1:21" ht="19.5" x14ac:dyDescent="0.25">
      <c r="A50" s="27"/>
      <c r="B50" s="45"/>
      <c r="C50" s="41"/>
      <c r="D50" s="41"/>
      <c r="E50" s="41"/>
      <c r="F50" s="41"/>
      <c r="G50" s="41"/>
      <c r="H50" s="27"/>
      <c r="I50" s="27"/>
      <c r="J50" s="27"/>
      <c r="L50" s="27"/>
      <c r="M50" s="27"/>
      <c r="N50" s="45"/>
      <c r="O50" s="27"/>
      <c r="P50" s="27"/>
      <c r="Q50" s="27"/>
      <c r="R50" s="27"/>
      <c r="S50" s="27"/>
      <c r="T50" s="27"/>
      <c r="U50" s="27"/>
    </row>
    <row r="51" spans="1:21" ht="19.5" x14ac:dyDescent="0.25">
      <c r="A51" s="27"/>
      <c r="B51" s="27"/>
      <c r="C51" s="41"/>
      <c r="D51" s="41"/>
      <c r="E51" s="41"/>
      <c r="F51" s="41"/>
      <c r="G51" s="41"/>
      <c r="H51" s="27"/>
      <c r="I51" s="27"/>
      <c r="J51" s="27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:21" ht="18.75" x14ac:dyDescent="0.25">
      <c r="A52" s="46"/>
      <c r="B52" s="46"/>
      <c r="C52" s="27"/>
      <c r="D52" s="27"/>
      <c r="E52" s="27"/>
      <c r="F52" s="27"/>
      <c r="G52" s="27"/>
      <c r="H52" s="6"/>
      <c r="I52" s="6"/>
      <c r="J52" s="6"/>
      <c r="K52" s="12"/>
      <c r="L52" s="6"/>
      <c r="M52" s="46"/>
      <c r="N52" s="46"/>
      <c r="O52" s="6"/>
      <c r="P52" s="6"/>
      <c r="Q52" s="6"/>
      <c r="R52" s="6"/>
      <c r="S52" s="6"/>
      <c r="T52" s="6"/>
      <c r="U52" s="27"/>
    </row>
    <row r="53" spans="1:21" ht="18.75" x14ac:dyDescent="0.25">
      <c r="A53" s="6"/>
      <c r="B53" s="6"/>
      <c r="C53" s="27"/>
      <c r="D53" s="27"/>
      <c r="E53" s="27"/>
      <c r="F53" s="27"/>
      <c r="G53" s="27"/>
      <c r="H53" s="42"/>
      <c r="I53" s="13"/>
      <c r="J53" s="13"/>
      <c r="K53" s="13"/>
      <c r="L53" s="13"/>
      <c r="M53" s="6"/>
      <c r="N53" s="6"/>
      <c r="O53" s="13"/>
      <c r="P53" s="13"/>
      <c r="Q53" s="13"/>
      <c r="R53" s="13"/>
      <c r="S53" s="42"/>
      <c r="T53" s="42"/>
      <c r="U53" s="27"/>
    </row>
    <row r="54" spans="1:21" ht="19.5" customHeight="1" x14ac:dyDescent="0.25">
      <c r="A54" s="6"/>
      <c r="B54" s="6"/>
      <c r="C54" s="27"/>
      <c r="D54" s="27"/>
      <c r="E54" s="27"/>
      <c r="F54" s="27"/>
      <c r="G54" s="27"/>
      <c r="H54" s="42"/>
      <c r="I54" s="13"/>
      <c r="J54" s="13"/>
      <c r="K54" s="13"/>
      <c r="L54" s="13"/>
      <c r="M54" s="6"/>
      <c r="N54" s="6"/>
      <c r="O54" s="13"/>
      <c r="P54" s="13"/>
      <c r="Q54" s="13"/>
      <c r="R54" s="13"/>
      <c r="S54" s="42"/>
      <c r="T54" s="42"/>
      <c r="U54" s="27"/>
    </row>
    <row r="55" spans="1:21" ht="18.75" x14ac:dyDescent="0.25">
      <c r="A55" s="6"/>
      <c r="B55" s="6"/>
      <c r="C55" s="27"/>
      <c r="D55" s="27"/>
      <c r="E55" s="27"/>
      <c r="F55" s="27"/>
      <c r="G55" s="27"/>
      <c r="H55" s="42"/>
      <c r="I55" s="13"/>
      <c r="J55" s="13"/>
      <c r="K55" s="13"/>
      <c r="L55" s="13"/>
      <c r="M55" s="6"/>
      <c r="N55" s="6"/>
      <c r="O55" s="13"/>
      <c r="P55" s="13"/>
      <c r="Q55" s="13"/>
      <c r="R55" s="13"/>
      <c r="S55" s="42"/>
      <c r="T55" s="42"/>
      <c r="U55" s="27"/>
    </row>
    <row r="56" spans="1:21" ht="18.75" x14ac:dyDescent="0.25">
      <c r="A56" s="6"/>
      <c r="B56" s="6"/>
      <c r="C56" s="27"/>
      <c r="D56" s="27"/>
      <c r="E56" s="27"/>
      <c r="F56" s="27"/>
      <c r="G56" s="27"/>
      <c r="H56" s="42"/>
      <c r="I56" s="13"/>
      <c r="J56" s="13"/>
      <c r="K56" s="13"/>
      <c r="L56" s="13"/>
      <c r="M56" s="6"/>
      <c r="N56" s="6"/>
      <c r="O56" s="13"/>
      <c r="P56" s="13"/>
      <c r="Q56" s="13"/>
      <c r="R56" s="13"/>
      <c r="S56" s="42"/>
      <c r="T56" s="42"/>
      <c r="U56" s="27"/>
    </row>
    <row r="57" spans="1:2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:2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:21" x14ac:dyDescent="0.25">
      <c r="C59" s="27"/>
      <c r="D59" s="27"/>
      <c r="E59" s="27"/>
      <c r="F59" s="27"/>
      <c r="G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:21" ht="18.75" x14ac:dyDescent="0.25">
      <c r="C60" s="6"/>
      <c r="D60" s="6"/>
      <c r="E60" s="6"/>
      <c r="F60" s="6"/>
      <c r="G60" s="6"/>
    </row>
    <row r="61" spans="1:21" ht="18.75" x14ac:dyDescent="0.25">
      <c r="C61" s="13"/>
      <c r="D61" s="13"/>
      <c r="E61" s="13"/>
      <c r="F61" s="13"/>
      <c r="G61" s="42"/>
    </row>
    <row r="62" spans="1:21" ht="18.75" x14ac:dyDescent="0.25">
      <c r="C62" s="13"/>
      <c r="D62" s="13"/>
      <c r="E62" s="13"/>
      <c r="F62" s="13"/>
      <c r="G62" s="42"/>
    </row>
    <row r="63" spans="1:21" ht="18.75" x14ac:dyDescent="0.25">
      <c r="C63" s="13"/>
      <c r="D63" s="13"/>
      <c r="E63" s="13"/>
      <c r="F63" s="13"/>
      <c r="G63" s="42"/>
    </row>
    <row r="64" spans="1:21" ht="18.75" x14ac:dyDescent="0.25">
      <c r="C64" s="13"/>
      <c r="D64" s="13"/>
      <c r="E64" s="13"/>
      <c r="F64" s="13"/>
      <c r="G64" s="42"/>
    </row>
    <row r="65" spans="3:7" x14ac:dyDescent="0.25">
      <c r="C65" s="27"/>
      <c r="D65" s="27"/>
      <c r="E65" s="27"/>
      <c r="F65" s="27"/>
      <c r="G65" s="27"/>
    </row>
    <row r="66" spans="3:7" x14ac:dyDescent="0.25">
      <c r="C66" s="27"/>
      <c r="D66" s="27"/>
      <c r="E66" s="27"/>
      <c r="F66" s="27"/>
      <c r="G66" s="27"/>
    </row>
  </sheetData>
  <mergeCells count="10">
    <mergeCell ref="B39:C39"/>
    <mergeCell ref="B40:B44"/>
    <mergeCell ref="H40:H44"/>
    <mergeCell ref="I40:I44"/>
    <mergeCell ref="B5:O5"/>
    <mergeCell ref="R5:AE5"/>
    <mergeCell ref="B23:C23"/>
    <mergeCell ref="B24:B35"/>
    <mergeCell ref="H24:H35"/>
    <mergeCell ref="I24:I35"/>
  </mergeCells>
  <phoneticPr fontId="1" type="noConversion"/>
  <pageMargins left="0.7" right="0.7" top="0.75" bottom="0.75" header="0.3" footer="0.3"/>
  <pageSetup paperSize="9" orientation="portrait" r:id="rId1"/>
  <ignoredErrors>
    <ignoredError sqref="D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DB2F-908B-435A-9FB1-3A5003B24B9A}">
  <dimension ref="C3:S16"/>
  <sheetViews>
    <sheetView topLeftCell="B1" zoomScale="115" zoomScaleNormal="115" workbookViewId="0">
      <selection activeCell="M36" sqref="M36"/>
    </sheetView>
  </sheetViews>
  <sheetFormatPr defaultRowHeight="16.5" x14ac:dyDescent="0.25"/>
  <cols>
    <col min="3" max="4" width="11.875" bestFit="1" customWidth="1"/>
    <col min="5" max="10" width="10.625" customWidth="1"/>
    <col min="13" max="13" width="11.875" bestFit="1" customWidth="1"/>
    <col min="15" max="15" width="11.375" bestFit="1" customWidth="1"/>
    <col min="16" max="16" width="10.375" bestFit="1" customWidth="1"/>
    <col min="17" max="17" width="10.125" bestFit="1" customWidth="1"/>
  </cols>
  <sheetData>
    <row r="3" spans="3:19" ht="17.25" thickBot="1" x14ac:dyDescent="0.3"/>
    <row r="4" spans="3:19" ht="20.25" thickBot="1" x14ac:dyDescent="0.3">
      <c r="C4" s="106" t="s">
        <v>49</v>
      </c>
      <c r="D4" s="107"/>
      <c r="E4" s="14" t="s">
        <v>50</v>
      </c>
      <c r="F4" s="15" t="s">
        <v>2</v>
      </c>
      <c r="G4" s="16" t="s">
        <v>3</v>
      </c>
      <c r="H4" s="17" t="s">
        <v>14</v>
      </c>
      <c r="I4" s="18" t="s">
        <v>4</v>
      </c>
      <c r="J4" s="47" t="s">
        <v>51</v>
      </c>
      <c r="L4" s="106" t="s">
        <v>42</v>
      </c>
      <c r="M4" s="107"/>
      <c r="N4" s="93" t="s">
        <v>1</v>
      </c>
      <c r="O4" s="94" t="s">
        <v>2</v>
      </c>
      <c r="P4" s="95" t="s">
        <v>3</v>
      </c>
      <c r="Q4" s="96" t="s">
        <v>14</v>
      </c>
      <c r="R4" s="97" t="s">
        <v>4</v>
      </c>
      <c r="S4" s="99" t="s">
        <v>5</v>
      </c>
    </row>
    <row r="5" spans="3:19" ht="19.5" thickBot="1" x14ac:dyDescent="0.3">
      <c r="C5" s="114" t="s">
        <v>52</v>
      </c>
      <c r="D5" s="50" t="s">
        <v>6</v>
      </c>
      <c r="E5" s="8">
        <v>0.79</v>
      </c>
      <c r="F5" s="8">
        <v>0.79</v>
      </c>
      <c r="G5" s="8">
        <v>0.87</v>
      </c>
      <c r="H5" s="8">
        <v>0.82</v>
      </c>
      <c r="I5" s="108">
        <v>0.85</v>
      </c>
      <c r="J5" s="111">
        <v>0.8</v>
      </c>
      <c r="L5" s="117" t="s">
        <v>57</v>
      </c>
      <c r="M5" s="100" t="s">
        <v>6</v>
      </c>
      <c r="N5" s="90">
        <v>0.86</v>
      </c>
      <c r="O5" s="90">
        <v>0.89</v>
      </c>
      <c r="P5" s="90">
        <v>0.89</v>
      </c>
      <c r="Q5" s="90">
        <v>0.89</v>
      </c>
      <c r="R5" s="108">
        <v>0.88</v>
      </c>
      <c r="S5" s="111">
        <v>0.84</v>
      </c>
    </row>
    <row r="6" spans="3:19" ht="19.5" thickBot="1" x14ac:dyDescent="0.3">
      <c r="C6" s="115"/>
      <c r="D6" s="50" t="s">
        <v>24</v>
      </c>
      <c r="E6" s="8">
        <v>0.88</v>
      </c>
      <c r="F6" s="8">
        <v>0.86</v>
      </c>
      <c r="G6" s="8">
        <v>0.98</v>
      </c>
      <c r="H6" s="8">
        <v>0.92</v>
      </c>
      <c r="I6" s="109"/>
      <c r="J6" s="112"/>
      <c r="L6" s="118"/>
      <c r="M6" s="101" t="s">
        <v>24</v>
      </c>
      <c r="N6" s="90">
        <v>0.9</v>
      </c>
      <c r="O6" s="90">
        <v>0.92</v>
      </c>
      <c r="P6" s="90">
        <v>0.99</v>
      </c>
      <c r="Q6" s="90">
        <v>0.95</v>
      </c>
      <c r="R6" s="109"/>
      <c r="S6" s="112"/>
    </row>
    <row r="7" spans="3:19" ht="20.25" thickBot="1" x14ac:dyDescent="0.3">
      <c r="C7" s="115"/>
      <c r="D7" s="4" t="s">
        <v>25</v>
      </c>
      <c r="E7" s="8">
        <v>0.84</v>
      </c>
      <c r="F7" s="8">
        <v>0.89</v>
      </c>
      <c r="G7" s="8">
        <v>0.94</v>
      </c>
      <c r="H7" s="8">
        <v>0.92</v>
      </c>
      <c r="I7" s="109"/>
      <c r="J7" s="112"/>
      <c r="L7" s="118"/>
      <c r="M7" s="89" t="s">
        <v>25</v>
      </c>
      <c r="N7" s="90">
        <v>0.93</v>
      </c>
      <c r="O7" s="90">
        <v>0.93</v>
      </c>
      <c r="P7" s="90">
        <v>0.94</v>
      </c>
      <c r="Q7" s="90">
        <v>0.94</v>
      </c>
      <c r="R7" s="109"/>
      <c r="S7" s="112"/>
    </row>
    <row r="8" spans="3:19" ht="20.25" thickBot="1" x14ac:dyDescent="0.3">
      <c r="C8" s="115"/>
      <c r="D8" s="4" t="s">
        <v>26</v>
      </c>
      <c r="E8" s="8">
        <v>0.47</v>
      </c>
      <c r="F8" s="8">
        <v>0.53</v>
      </c>
      <c r="G8" s="8">
        <v>1</v>
      </c>
      <c r="H8" s="8">
        <v>0.69</v>
      </c>
      <c r="I8" s="109"/>
      <c r="J8" s="112"/>
      <c r="L8" s="118"/>
      <c r="M8" s="89" t="s">
        <v>26</v>
      </c>
      <c r="N8" s="90">
        <v>0.48</v>
      </c>
      <c r="O8" s="90">
        <v>0.57999999999999996</v>
      </c>
      <c r="P8" s="90">
        <v>1</v>
      </c>
      <c r="Q8" s="90">
        <v>0.73</v>
      </c>
      <c r="R8" s="109"/>
      <c r="S8" s="112"/>
    </row>
    <row r="9" spans="3:19" ht="20.25" thickBot="1" x14ac:dyDescent="0.3">
      <c r="C9" s="115"/>
      <c r="D9" s="4" t="s">
        <v>27</v>
      </c>
      <c r="E9" s="8">
        <v>0.97</v>
      </c>
      <c r="F9" s="8">
        <v>0.94</v>
      </c>
      <c r="G9" s="8">
        <v>0.97</v>
      </c>
      <c r="H9" s="8">
        <v>0.95</v>
      </c>
      <c r="I9" s="109"/>
      <c r="J9" s="112"/>
      <c r="L9" s="118"/>
      <c r="M9" s="89" t="s">
        <v>27</v>
      </c>
      <c r="N9" s="90">
        <v>0.95</v>
      </c>
      <c r="O9" s="90">
        <v>0.94</v>
      </c>
      <c r="P9" s="90">
        <v>0.97</v>
      </c>
      <c r="Q9" s="90">
        <v>0.95</v>
      </c>
      <c r="R9" s="109"/>
      <c r="S9" s="112"/>
    </row>
    <row r="10" spans="3:19" ht="20.25" thickBot="1" x14ac:dyDescent="0.3">
      <c r="C10" s="115"/>
      <c r="D10" s="4" t="s">
        <v>28</v>
      </c>
      <c r="E10" s="8">
        <v>0.94</v>
      </c>
      <c r="F10" s="8">
        <v>0.95</v>
      </c>
      <c r="G10" s="8">
        <v>0.99</v>
      </c>
      <c r="H10" s="8">
        <v>0.97</v>
      </c>
      <c r="I10" s="109"/>
      <c r="J10" s="112"/>
      <c r="L10" s="118"/>
      <c r="M10" s="89" t="s">
        <v>28</v>
      </c>
      <c r="N10" s="90">
        <v>0.96</v>
      </c>
      <c r="O10" s="90">
        <v>0.93</v>
      </c>
      <c r="P10" s="90">
        <v>0.95</v>
      </c>
      <c r="Q10" s="90">
        <v>0.94</v>
      </c>
      <c r="R10" s="109"/>
      <c r="S10" s="112"/>
    </row>
    <row r="11" spans="3:19" ht="20.25" thickBot="1" x14ac:dyDescent="0.3">
      <c r="C11" s="115"/>
      <c r="D11" s="4" t="s">
        <v>29</v>
      </c>
      <c r="E11" s="8">
        <v>0.83</v>
      </c>
      <c r="F11" s="8">
        <v>0.81</v>
      </c>
      <c r="G11" s="8">
        <v>0.86</v>
      </c>
      <c r="H11" s="8">
        <v>0.84</v>
      </c>
      <c r="I11" s="109"/>
      <c r="J11" s="112"/>
      <c r="L11" s="118"/>
      <c r="M11" s="89" t="s">
        <v>29</v>
      </c>
      <c r="N11" s="90">
        <v>0.82</v>
      </c>
      <c r="O11" s="90">
        <v>0.84</v>
      </c>
      <c r="P11" s="90">
        <v>0.84</v>
      </c>
      <c r="Q11" s="90">
        <v>0.84</v>
      </c>
      <c r="R11" s="109"/>
      <c r="S11" s="112"/>
    </row>
    <row r="12" spans="3:19" ht="20.25" thickBot="1" x14ac:dyDescent="0.3">
      <c r="C12" s="115"/>
      <c r="D12" s="49" t="s">
        <v>30</v>
      </c>
      <c r="E12" s="8">
        <v>1</v>
      </c>
      <c r="F12" s="8">
        <v>1</v>
      </c>
      <c r="G12" s="8">
        <v>1</v>
      </c>
      <c r="H12" s="8">
        <v>1</v>
      </c>
      <c r="I12" s="109"/>
      <c r="J12" s="112"/>
      <c r="L12" s="118"/>
      <c r="M12" s="98" t="s">
        <v>30</v>
      </c>
      <c r="N12" s="90">
        <v>1</v>
      </c>
      <c r="O12" s="90">
        <v>1</v>
      </c>
      <c r="P12" s="90">
        <v>1</v>
      </c>
      <c r="Q12" s="90">
        <v>1</v>
      </c>
      <c r="R12" s="109"/>
      <c r="S12" s="112"/>
    </row>
    <row r="13" spans="3:19" ht="20.25" thickBot="1" x14ac:dyDescent="0.3">
      <c r="C13" s="115"/>
      <c r="D13" s="49" t="s">
        <v>31</v>
      </c>
      <c r="E13" s="8">
        <v>0.98</v>
      </c>
      <c r="F13" s="8">
        <v>0.98</v>
      </c>
      <c r="G13" s="8">
        <v>0.96</v>
      </c>
      <c r="H13" s="8">
        <v>0.97</v>
      </c>
      <c r="I13" s="109"/>
      <c r="J13" s="112"/>
      <c r="L13" s="118"/>
      <c r="M13" s="98" t="s">
        <v>31</v>
      </c>
      <c r="N13" s="90">
        <v>0.97</v>
      </c>
      <c r="O13" s="90">
        <v>0.97</v>
      </c>
      <c r="P13" s="90">
        <v>0.94</v>
      </c>
      <c r="Q13" s="90">
        <v>0.96</v>
      </c>
      <c r="R13" s="109"/>
      <c r="S13" s="112"/>
    </row>
    <row r="14" spans="3:19" ht="20.25" thickBot="1" x14ac:dyDescent="0.3">
      <c r="C14" s="115"/>
      <c r="D14" s="49" t="s">
        <v>32</v>
      </c>
      <c r="E14" s="8">
        <v>0.84</v>
      </c>
      <c r="F14" s="8">
        <v>0.84</v>
      </c>
      <c r="G14" s="8">
        <v>0.88</v>
      </c>
      <c r="H14" s="8">
        <v>0.86</v>
      </c>
      <c r="I14" s="109"/>
      <c r="J14" s="112"/>
      <c r="L14" s="118"/>
      <c r="M14" s="98" t="s">
        <v>32</v>
      </c>
      <c r="N14" s="90">
        <v>0.86</v>
      </c>
      <c r="O14" s="90">
        <v>0.86</v>
      </c>
      <c r="P14" s="90">
        <v>0.9</v>
      </c>
      <c r="Q14" s="90">
        <v>0.88</v>
      </c>
      <c r="R14" s="109"/>
      <c r="S14" s="112"/>
    </row>
    <row r="15" spans="3:19" ht="20.25" thickBot="1" x14ac:dyDescent="0.3">
      <c r="C15" s="115"/>
      <c r="D15" s="49" t="s">
        <v>33</v>
      </c>
      <c r="E15" s="8">
        <v>0.8</v>
      </c>
      <c r="F15" s="8">
        <v>0.82</v>
      </c>
      <c r="G15" s="8">
        <v>0.63</v>
      </c>
      <c r="H15" s="8">
        <v>0.71</v>
      </c>
      <c r="I15" s="109"/>
      <c r="J15" s="112"/>
      <c r="L15" s="118"/>
      <c r="M15" s="98" t="s">
        <v>33</v>
      </c>
      <c r="N15" s="90">
        <v>0.84</v>
      </c>
      <c r="O15" s="90">
        <v>0.86</v>
      </c>
      <c r="P15" s="90">
        <v>0.64</v>
      </c>
      <c r="Q15" s="90">
        <v>0.73</v>
      </c>
      <c r="R15" s="109"/>
      <c r="S15" s="112"/>
    </row>
    <row r="16" spans="3:19" ht="19.5" thickBot="1" x14ac:dyDescent="0.3">
      <c r="C16" s="116"/>
      <c r="D16" s="2" t="s">
        <v>53</v>
      </c>
      <c r="E16" s="9">
        <v>0.85</v>
      </c>
      <c r="F16" s="9">
        <v>0.86</v>
      </c>
      <c r="G16" s="9">
        <v>0.92</v>
      </c>
      <c r="H16" s="9">
        <v>0.88</v>
      </c>
      <c r="I16" s="110"/>
      <c r="J16" s="113"/>
      <c r="L16" s="119"/>
      <c r="M16" s="88" t="s">
        <v>18</v>
      </c>
      <c r="N16" s="91">
        <v>0.87</v>
      </c>
      <c r="O16" s="91">
        <v>0.88</v>
      </c>
      <c r="P16" s="91">
        <v>0.91</v>
      </c>
      <c r="Q16" s="91">
        <v>0.89</v>
      </c>
      <c r="R16" s="110"/>
      <c r="S16" s="113"/>
    </row>
  </sheetData>
  <mergeCells count="8">
    <mergeCell ref="R5:R16"/>
    <mergeCell ref="S5:S16"/>
    <mergeCell ref="L4:M4"/>
    <mergeCell ref="L5:L16"/>
    <mergeCell ref="C4:D4"/>
    <mergeCell ref="C5:C16"/>
    <mergeCell ref="I5:I16"/>
    <mergeCell ref="J5:J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框選統計</vt:lpstr>
      <vt:lpstr>WLI</vt:lpstr>
      <vt:lpstr>HSI</vt:lpstr>
      <vt:lpstr>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DESKTOP-BD1HALK</cp:lastModifiedBy>
  <dcterms:created xsi:type="dcterms:W3CDTF">2022-07-15T00:43:38Z</dcterms:created>
  <dcterms:modified xsi:type="dcterms:W3CDTF">2023-08-16T07:22:37Z</dcterms:modified>
</cp:coreProperties>
</file>